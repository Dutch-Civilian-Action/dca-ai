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ipments" sheetId="2" state="visible" r:id="rId2"/>
    <sheet xmlns:r="http://schemas.openxmlformats.org/officeDocument/2006/relationships" name="Van_Missions" sheetId="3" state="visible" r:id="rId3"/>
    <sheet xmlns:r="http://schemas.openxmlformats.org/officeDocument/2006/relationships" name="Pallets_declared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Review_List" sheetId="7" state="visible" r:id="rId7"/>
    <sheet xmlns:r="http://schemas.openxmlformats.org/officeDocument/2006/relationships" name="Obje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Inspectable structured output of RUN-receXkVSVZTfjD1j6 (DCA goods &amp; shipment history reconstruction). Detail is limited to what the processed sources state. This is a staging/review shape, NOT an adopted production schema.</t>
        </is>
      </c>
    </row>
    <row r="3">
      <c r="A3" s="2" t="inlineStr">
        <is>
          <t>Status</t>
        </is>
      </c>
      <c r="B3" s="2" t="inlineStr">
        <is>
          <t>Interim pass, 17 Sep 2026 ~01:30 CEST. Self-evaluation outcome: INSUFFICIENT (see Coverage tab). No human validation performed. No valuation performed.</t>
        </is>
      </c>
    </row>
    <row r="4">
      <c r="A4" s="2" t="inlineStr">
        <is>
          <t>Inclusion rule for totals</t>
        </is>
      </c>
      <c r="B4" s="2" t="inlineStr">
        <is>
          <t>Shipment-level kg = declared totals on the CMR-preparation sheet / manifest / loading list for that departure. Loose items are shown separately and are NOT in palletised totals. Van missions are shown separately from trucks. Undocumented trucks (James Truck 1/3/4) are listed with James's figure only and flagged; they are not summed with documented departures.</t>
        </is>
      </c>
    </row>
    <row r="5">
      <c r="A5" s="2" t="inlineStr">
        <is>
          <t>Exclusion rule</t>
        </is>
      </c>
      <c r="B5" s="2" t="inlineStr">
        <is>
          <t>Nothing is summed across the Shipments tab and the Van_Missions tab; James's monthly totals are never added to declared totals. Duplicate copies of the same document (operational folder, manifest bundle, upload) count once.</t>
        </is>
      </c>
    </row>
    <row r="6">
      <c r="A6" s="2" t="inlineStr">
        <is>
          <t>Airtable trace</t>
        </is>
      </c>
      <c r="B6" s="2" t="inlineStr">
        <is>
          <t>Base appZ1Fv0YtZPbBbWa (DCA Evidence &amp; Reconciliation). Run receXkVSVZTfjD1j6. Objects ROB-… and Evidence EVD-… are listed in the Objects and Evidence tabs. IDs are trace keys, not citations for readers.</t>
        </is>
      </c>
    </row>
    <row r="7">
      <c r="A7" s="2" t="inlineStr">
        <is>
          <t>Source of numbers</t>
        </is>
      </c>
      <c r="B7" s="2" t="inlineStr">
        <is>
          <t>Every number is taken from a source named in the Evidence tab; column 'source_evidence' on each row names it. Numbers typed from Kees's notes are marked 'Kees note (16 Sep 2026)'.</t>
        </is>
      </c>
    </row>
    <row r="8">
      <c r="A8" s="2" t="inlineStr">
        <is>
          <t>Valuation</t>
        </is>
      </c>
      <c r="B8" s="2" t="inlineStr">
        <is>
          <t>Deferred by instruction. Rates, prices and euro values appear only as attributed source claims where they were already in a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6" customWidth="1" min="4" max="4"/>
    <col width="30" customWidth="1" min="5" max="5"/>
    <col width="28" customWidth="1" min="6" max="6"/>
    <col width="10" customWidth="1" min="7" max="7"/>
    <col width="10" customWidth="1" min="8" max="8"/>
    <col width="14" customWidth="1" min="9" max="9"/>
    <col width="18" customWidth="1" min="10" max="10"/>
    <col width="60" customWidth="1" min="11" max="11"/>
    <col width="36" customWidth="1" min="12" max="12"/>
    <col width="40" customWidth="1" min="13" max="13"/>
    <col width="24" customWidth="1" min="14" max="14"/>
  </cols>
  <sheetData>
    <row r="1">
      <c r="A1" s="1" t="inlineStr">
        <is>
          <t>shipment_ref</t>
        </is>
      </c>
      <c r="B1" s="1" t="inlineStr">
        <is>
          <t>transport_type</t>
        </is>
      </c>
      <c r="C1" s="1" t="inlineStr">
        <is>
          <t>date_stated</t>
        </is>
      </c>
      <c r="D1" s="1" t="inlineStr">
        <is>
          <t>james_label</t>
        </is>
      </c>
      <c r="E1" s="1" t="inlineStr">
        <is>
          <t>consignees_stated</t>
        </is>
      </c>
      <c r="F1" s="1" t="inlineStr">
        <is>
          <t>destination_stated</t>
        </is>
      </c>
      <c r="G1" s="1" t="inlineStr">
        <is>
          <t>pallets_declared</t>
        </is>
      </c>
      <c r="H1" s="1" t="inlineStr">
        <is>
          <t>boxes_declared</t>
        </is>
      </c>
      <c r="I1" s="1" t="inlineStr">
        <is>
          <t>kg_declared_palletised</t>
        </is>
      </c>
      <c r="J1" s="1" t="inlineStr">
        <is>
          <t>kg_loose_declared</t>
        </is>
      </c>
      <c r="K1" s="1" t="inlineStr">
        <is>
          <t>notes</t>
        </is>
      </c>
      <c r="L1" s="1" t="inlineStr">
        <is>
          <t>state_supported</t>
        </is>
      </c>
      <c r="M1" s="1" t="inlineStr">
        <is>
          <t>source_evidence</t>
        </is>
      </c>
      <c r="N1" s="1" t="inlineStr">
        <is>
          <t>reconstruction_object</t>
        </is>
      </c>
    </row>
    <row r="2">
      <c r="A2" s="2" t="inlineStr">
        <is>
          <t>TRK-2026-01-20</t>
        </is>
      </c>
      <c r="B2" s="2" t="inlineStr">
        <is>
          <t>Truck</t>
        </is>
      </c>
      <c r="C2" s="2" t="inlineStr">
        <is>
          <t>2026-01-20</t>
        </is>
      </c>
      <c r="D2" s="2" t="inlineStr">
        <is>
          <t>James: 'Truck 2 January 20.2026'</t>
        </is>
      </c>
      <c r="E2" s="2" t="inlineStr">
        <is>
          <t>Help Window Foundation Kharkiv; Found Nezlomna Rodina Kharkiv</t>
        </is>
      </c>
      <c r="F2" s="2" t="inlineStr">
        <is>
          <t>Kharkiv</t>
        </is>
      </c>
      <c r="G2" s="2" t="n">
        <v>20</v>
      </c>
      <c r="H2" s="2" t="n">
        <v>613</v>
      </c>
      <c r="I2" s="2" t="n">
        <v>10036</v>
      </c>
      <c r="J2" s="2" t="inlineStr"/>
      <c r="K2" s="2" t="inlineStr">
        <is>
          <t>HW 14 pallets / 7,403 kg (incl. pallets annotated H4U, DCA Donietsk, DCA-Kyiv); NR 6 / 2,633. Driver Romanov Ihor; AA8047TI/AA9147XK. Meidoornweg sender.</t>
        </is>
      </c>
      <c r="L2" s="2" t="inlineStr">
        <is>
          <t>declared (CMR-preparation sheet); departure/delivery not independently evidenced</t>
        </is>
      </c>
      <c r="M2" s="2" t="inlineStr">
        <is>
          <t>EVD-recpYmNnGlJCfftyh</t>
        </is>
      </c>
      <c r="N2" s="2" t="inlineStr">
        <is>
          <t>ROB-rec1A3tgId8npy6eE</t>
        </is>
      </c>
    </row>
    <row r="3">
      <c r="A3" s="2" t="inlineStr">
        <is>
          <t>TRK-2026-01-09 (James Truck 1)</t>
        </is>
      </c>
      <c r="B3" s="2" t="inlineStr">
        <is>
          <t>Truck (undocumented)</t>
        </is>
      </c>
      <c r="C3" s="2" t="inlineStr">
        <is>
          <t>2026-01-09 (James header)</t>
        </is>
      </c>
      <c r="D3" s="2" t="inlineStr">
        <is>
          <t>James: 'Truck 1 January 09.2026'</t>
        </is>
      </c>
      <c r="E3" s="2" t="inlineStr">
        <is>
          <t>unknown</t>
        </is>
      </c>
      <c r="F3" s="2" t="inlineStr">
        <is>
          <t>unknown</t>
        </is>
      </c>
      <c r="G3" s="2" t="inlineStr"/>
      <c r="H3" s="2" t="inlineStr"/>
      <c r="I3" s="2" t="inlineStr"/>
      <c r="J3" s="2" t="inlineStr">
        <is>
          <t>part of 32,000 kg 'Medical' in James's Jan tab</t>
        </is>
      </c>
      <c r="K3" s="2" t="inlineStr">
        <is>
          <t>No shipment sheet, CMR or loading list supplied. Kees attributes to Lithuania/mattresses (not confirmed).</t>
        </is>
      </c>
      <c r="L3" s="2" t="inlineStr">
        <is>
          <t>UNRESOLVED</t>
        </is>
      </c>
      <c r="M3" s="2" t="inlineStr">
        <is>
          <t>EVD-reci8DsW1gdgoWPg6; EVD-recdaLZzXrb5e9Nu1</t>
        </is>
      </c>
      <c r="N3" s="2" t="inlineStr">
        <is>
          <t>ROB-rec3LncyByihvWJ7w</t>
        </is>
      </c>
    </row>
    <row r="4">
      <c r="A4" s="2" t="inlineStr">
        <is>
          <t>TRK-2026-01-28 (James Truck 3)</t>
        </is>
      </c>
      <c r="B4" s="2" t="inlineStr">
        <is>
          <t>Truck (undocumented)</t>
        </is>
      </c>
      <c r="C4" s="2" t="inlineStr">
        <is>
          <t>2026-01-28 (James header)</t>
        </is>
      </c>
      <c r="D4" s="2" t="inlineStr">
        <is>
          <t>James: 'Truck 3 January 28.2026'</t>
        </is>
      </c>
      <c r="E4" s="2" t="inlineStr">
        <is>
          <t>unknown</t>
        </is>
      </c>
      <c r="F4" s="2" t="inlineStr">
        <is>
          <t>unknown</t>
        </is>
      </c>
      <c r="G4" s="2" t="inlineStr"/>
      <c r="H4" s="2" t="inlineStr"/>
      <c r="I4" s="2" t="inlineStr"/>
      <c r="J4" s="2" t="inlineStr">
        <is>
          <t>part of 32,000 kg 'Medical' in James's Jan tab</t>
        </is>
      </c>
      <c r="K4" s="2" t="inlineStr">
        <is>
          <t>As above. Lieke reported three trucks sent by 23 Jan — date conflict.</t>
        </is>
      </c>
      <c r="L4" s="2" t="inlineStr">
        <is>
          <t>UNRESOLVED</t>
        </is>
      </c>
      <c r="M4" s="2" t="inlineStr">
        <is>
          <t>EVD-reci8DsW1gdgoWPg6; EVD-recT9nVfjN2snhuCi</t>
        </is>
      </c>
      <c r="N4" s="2" t="inlineStr">
        <is>
          <t>ROB-rec3LncyByihvWJ7w</t>
        </is>
      </c>
    </row>
    <row r="5">
      <c r="A5" s="2" t="inlineStr">
        <is>
          <t>TRK-2026-02-11 (James Truck 4)</t>
        </is>
      </c>
      <c r="B5" s="2" t="inlineStr">
        <is>
          <t>Truck (undocumented)</t>
        </is>
      </c>
      <c r="C5" s="2" t="inlineStr">
        <is>
          <t>2026-02-11 (James header)</t>
        </is>
      </c>
      <c r="D5" s="2" t="inlineStr">
        <is>
          <t>James: 'Truck 4 11.02.2026'</t>
        </is>
      </c>
      <c r="E5" s="2" t="inlineStr">
        <is>
          <t>unknown</t>
        </is>
      </c>
      <c r="F5" s="2" t="inlineStr">
        <is>
          <t>unknown</t>
        </is>
      </c>
      <c r="G5" s="2" t="inlineStr"/>
      <c r="H5" s="2" t="inlineStr"/>
      <c r="I5" s="2" t="inlineStr"/>
      <c r="J5" s="2" t="inlineStr">
        <is>
          <t>16,000 kg 'Medical' in James's Feb tab</t>
        </is>
      </c>
      <c r="K5" s="2" t="inlineStr">
        <is>
          <t>As above.</t>
        </is>
      </c>
      <c r="L5" s="2" t="inlineStr">
        <is>
          <t>UNRESOLVED</t>
        </is>
      </c>
      <c r="M5" s="2" t="inlineStr">
        <is>
          <t>EVD-reci8DsW1gdgoWPg6</t>
        </is>
      </c>
      <c r="N5" s="2" t="inlineStr">
        <is>
          <t>ROB-rec3LncyByihvWJ7w</t>
        </is>
      </c>
    </row>
    <row r="6">
      <c r="A6" s="2" t="inlineStr">
        <is>
          <t>TRK-2026-03-10</t>
        </is>
      </c>
      <c r="B6" s="2" t="inlineStr">
        <is>
          <t>Truck</t>
        </is>
      </c>
      <c r="C6" s="2" t="inlineStr">
        <is>
          <t>2026-03-10</t>
        </is>
      </c>
      <c r="D6" s="2" t="inlineStr">
        <is>
          <t>James: 'Truck 5 10.03.2026'</t>
        </is>
      </c>
      <c r="E6" s="2" t="inlineStr">
        <is>
          <t>Nezlomna Rodina; Help Window</t>
        </is>
      </c>
      <c r="F6" s="2" t="inlineStr">
        <is>
          <t>Kharkiv</t>
        </is>
      </c>
      <c r="G6" s="2" t="n">
        <v>31</v>
      </c>
      <c r="H6" s="2" t="n">
        <v>1449</v>
      </c>
      <c r="I6" s="2" t="n">
        <v>19075</v>
      </c>
      <c r="J6" s="2" t="n">
        <v>244</v>
      </c>
      <c r="K6" s="2" t="inlineStr">
        <is>
          <t>NR 7 pallets 3,982 kg palletised + 134 loose items 244 kg = 4,226 declared; HW 24 pallets 15,093. Pallet numbers 22 and 31 absent. Mercedes KA6484AP/AA2117XC, driver V. Komyshnyi.</t>
        </is>
      </c>
      <c r="L6" s="2" t="inlineStr">
        <is>
          <t>declared; departure/delivery not independently evidenced</t>
        </is>
      </c>
      <c r="M6" s="2" t="inlineStr">
        <is>
          <t>EVD-recuxxn3mlOO1aDUI</t>
        </is>
      </c>
      <c r="N6" s="2" t="inlineStr">
        <is>
          <t>ROB-recl6gIk4jwSbqm6p</t>
        </is>
      </c>
    </row>
    <row r="7">
      <c r="A7" s="2" t="inlineStr">
        <is>
          <t>TRK-2026-05-06</t>
        </is>
      </c>
      <c r="B7" s="2" t="inlineStr">
        <is>
          <t>Truck</t>
        </is>
      </c>
      <c r="C7" s="2" t="inlineStr">
        <is>
          <t>2026-05-06</t>
        </is>
      </c>
      <c r="D7" s="2" t="inlineStr">
        <is>
          <t>James: 'Truck 6 06.05.2026'</t>
        </is>
      </c>
      <c r="E7" s="2" t="inlineStr">
        <is>
          <t>Help Window; Nezlomna Rodina</t>
        </is>
      </c>
      <c r="F7" s="2" t="inlineStr">
        <is>
          <t>Kharkiv (onward: H4U Ludmila Zhytomyr; DCA James Kamyanka/Kramatorsk)</t>
        </is>
      </c>
      <c r="G7" s="2" t="n">
        <v>20</v>
      </c>
      <c r="H7" s="2" t="n">
        <v>806</v>
      </c>
      <c r="I7" s="2" t="n">
        <v>10210</v>
      </c>
      <c r="J7" s="2" t="inlineStr">
        <is>
          <t>included (bedding 50 items ~300 kg; medical equipment 8 items 72 kg)</t>
        </is>
      </c>
      <c r="K7" s="2" t="inlineStr">
        <is>
          <t>HW 16 / 8,700; NR 4 / 1,510. Kees's contemporaneous 'loaded and sent' report is held in RUN-rechGOzgthgfAGzZu.</t>
        </is>
      </c>
      <c r="L7" s="2" t="inlineStr">
        <is>
          <t>declared; loaded/sent per Kees (prior run); delivery unverified</t>
        </is>
      </c>
      <c r="M7" s="2" t="inlineStr">
        <is>
          <t>EVD-recDe227kjiqwpZc5</t>
        </is>
      </c>
      <c r="N7" s="2" t="inlineStr">
        <is>
          <t>ROB-recQVOExvYChyUyHG</t>
        </is>
      </c>
    </row>
    <row r="8">
      <c r="A8" s="2" t="inlineStr">
        <is>
          <t>SHI-0002</t>
        </is>
      </c>
      <c r="B8" s="2" t="inlineStr">
        <is>
          <t>Truck</t>
        </is>
      </c>
      <c r="C8" s="2" t="inlineStr">
        <is>
          <t>2026-06-24</t>
        </is>
      </c>
      <c r="D8" s="2" t="inlineStr">
        <is>
          <t>James: 'Truck 7 June 25, 2026'</t>
        </is>
      </c>
      <c r="E8" s="2" t="inlineStr">
        <is>
          <t>Help Window; Salim; Lifeline</t>
        </is>
      </c>
      <c r="F8" s="2" t="inlineStr">
        <is>
          <t>Zhytomyr / Makariv</t>
        </is>
      </c>
      <c r="G8" s="2" t="n">
        <v>12</v>
      </c>
      <c r="H8" s="2" t="n">
        <v>437</v>
      </c>
      <c r="I8" s="2" t="n">
        <v>7570.5</v>
      </c>
      <c r="J8" s="2" t="inlineStr"/>
      <c r="K8" s="2" t="inlineStr">
        <is>
          <t>HW SU-0001–0006 3,745.5; Salim 3,632; Lifeline 193; split pallets SU-0011/0012. AC7440HP/AC0450XG, driver Melnychuk Yaroslav. Lutmanstraat sender. Invoice 'truck loaded 24 June' to Finance 6 Jul.</t>
        </is>
      </c>
      <c r="L8" s="2" t="inlineStr">
        <is>
          <t>declared; loaded 24 Jun (invoice email); 3 Jul not all recipients had collected</t>
        </is>
      </c>
      <c r="M8" s="2" t="inlineStr">
        <is>
          <t>EVD-recjovJhHNHrkGZb3; EVD-recibLdWHNIJanw5J; EVD-recJI4FH0GVHLhByd</t>
        </is>
      </c>
      <c r="N8" s="2" t="inlineStr">
        <is>
          <t>ROB-recOiUWgo6VxgCpGs</t>
        </is>
      </c>
    </row>
    <row r="9">
      <c r="A9" s="2" t="inlineStr">
        <is>
          <t>SHI-0001</t>
        </is>
      </c>
      <c r="B9" s="2" t="inlineStr">
        <is>
          <t>Truck</t>
        </is>
      </c>
      <c r="C9" s="2" t="inlineStr">
        <is>
          <t>2026-07-04</t>
        </is>
      </c>
      <c r="D9" s="2" t="inlineStr">
        <is>
          <t>James: 'Truck 8 - July 4, 2026 (mission 37)'</t>
        </is>
      </c>
      <c r="E9" s="2" t="inlineStr">
        <is>
          <t>Help Window; Nezlomna Rodina</t>
        </is>
      </c>
      <c r="F9" s="2" t="inlineStr">
        <is>
          <t>Kharkiv</t>
        </is>
      </c>
      <c r="G9" s="2" t="n">
        <v>32</v>
      </c>
      <c r="H9" s="2" t="n">
        <v>1008</v>
      </c>
      <c r="I9" s="2" t="n">
        <v>15260</v>
      </c>
      <c r="J9" s="2" t="n">
        <v>510</v>
      </c>
      <c r="K9" s="2" t="inlineStr">
        <is>
          <t>HW 19 / 8,890 + 51 bags bedding 510 loose; NR 13 / 6,370. W.B. van der Donk, OL-78-FB, CMR 1/260704 &amp; 2/260704. Departed Sat 4 Jul 08:00; Polish road inspection en route.</t>
        </is>
      </c>
      <c r="L9" s="2" t="inlineStr">
        <is>
          <t>declared; departure evidenced (Slack); delivery unverified</t>
        </is>
      </c>
      <c r="M9" s="2" t="inlineStr">
        <is>
          <t>EVD-rec3AuCzNvlH0aA5H; EVD-reccKtLmFYdcbgiig; EVD-recZJ8yS3SefenE0j; EVD-recOX5n0nZClxgYdP</t>
        </is>
      </c>
      <c r="N9" s="2" t="inlineStr">
        <is>
          <t>ROB-rec5K5YO2pTOqSbFb</t>
        </is>
      </c>
    </row>
    <row r="10">
      <c r="A10" s="2" t="inlineStr">
        <is>
          <t>SHI-0003</t>
        </is>
      </c>
      <c r="B10" s="2" t="inlineStr">
        <is>
          <t>Truck</t>
        </is>
      </c>
      <c r="C10" s="2" t="inlineStr">
        <is>
          <t>2026-08-20 (list date; departure not established)</t>
        </is>
      </c>
      <c r="D10" s="2" t="inlineStr">
        <is>
          <t>James: 'Truck 9 . . . August 2025 [sic]'</t>
        </is>
      </c>
      <c r="E10" s="2" t="inlineStr">
        <is>
          <t>Help Window; Nezlomna Rodina</t>
        </is>
      </c>
      <c r="F10" s="2" t="inlineStr">
        <is>
          <t>Kharkiv</t>
        </is>
      </c>
      <c r="G10" s="2" t="n">
        <v>20</v>
      </c>
      <c r="H10" s="2" t="n">
        <v>813</v>
      </c>
      <c r="I10" s="2" t="n">
        <v>10290</v>
      </c>
      <c r="J10" s="2" t="inlineStr"/>
      <c r="K10" s="2" t="inlineStr">
        <is>
          <t>HW 15 / 8,779; NR 5 / 1,511 hospital supplies. DAF XF AI8800HM/AA7888XS, driver Novitskyi Vladyslav. Stamped CMRs for carrier's bank 17–18 Aug.</t>
        </is>
      </c>
      <c r="L10" s="2" t="inlineStr">
        <is>
          <t>declared; paperwork evidenced; departure/delivery unverified</t>
        </is>
      </c>
      <c r="M10" s="2" t="inlineStr">
        <is>
          <t>EVD-rec0F392MGFzyMkvY; EVD-recx7hibtO7QmFOev</t>
        </is>
      </c>
      <c r="N10" s="2" t="inlineStr">
        <is>
          <t>ROB-recIOT2vNEsqCjJFp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0" customWidth="1" min="4" max="4"/>
    <col width="10" customWidth="1" min="5" max="5"/>
    <col width="10" customWidth="1" min="6" max="6"/>
    <col width="70" customWidth="1" min="7" max="7"/>
    <col width="22" customWidth="1" min="8" max="8"/>
    <col width="44" customWidth="1" min="9" max="9"/>
    <col width="30" customWidth="1" min="10" max="10"/>
  </cols>
  <sheetData>
    <row r="1">
      <c r="A1" s="1" t="inlineStr">
        <is>
          <t>mission</t>
        </is>
      </c>
      <c r="B1" s="1" t="inlineStr">
        <is>
          <t>dates</t>
        </is>
      </c>
      <c r="C1" s="1" t="inlineStr">
        <is>
          <t>transport</t>
        </is>
      </c>
      <c r="D1" s="1" t="inlineStr">
        <is>
          <t>recipients_stated</t>
        </is>
      </c>
      <c r="E1" s="1" t="inlineStr">
        <is>
          <t>units_stated</t>
        </is>
      </c>
      <c r="F1" s="1" t="inlineStr">
        <is>
          <t>kg_stated</t>
        </is>
      </c>
      <c r="G1" s="1" t="inlineStr">
        <is>
          <t>contents_as_stated</t>
        </is>
      </c>
      <c r="H1" s="1" t="inlineStr">
        <is>
          <t>state_supported</t>
        </is>
      </c>
      <c r="I1" s="1" t="inlineStr">
        <is>
          <t>source_evidence</t>
        </is>
      </c>
      <c r="J1" s="1" t="inlineStr">
        <is>
          <t>reconstruction_object</t>
        </is>
      </c>
    </row>
    <row r="2">
      <c r="A2" s="2" t="inlineStr">
        <is>
          <t>Mission 33</t>
        </is>
      </c>
      <c r="B2" s="2" t="inlineStr">
        <is>
          <t>Jan/Feb 2026 (date unresolved)</t>
        </is>
      </c>
      <c r="C2" s="2" t="inlineStr">
        <is>
          <t>armoured van</t>
        </is>
      </c>
      <c r="D2" s="2" t="inlineStr">
        <is>
          <t>Bohdan (van recipient per Lieke); onward unknown</t>
        </is>
      </c>
      <c r="E2" s="2" t="inlineStr"/>
      <c r="F2" s="2" t="inlineStr"/>
      <c r="G2" s="2" t="inlineStr">
        <is>
          <t>Jan working sheet: pallet 18 (24 boxes medical supplies, 315 kg) 'in the van for mission 33'. Kees recollection: mostly second-hand clothing ~700 kg (James). No loading list.</t>
        </is>
      </c>
      <c r="H2" s="2" t="inlineStr">
        <is>
          <t>mixed / unresolved</t>
        </is>
      </c>
      <c r="I2" s="2" t="inlineStr">
        <is>
          <t>EVD-recpYmNnGlJCfftyh; EVD-reczExBGAKskkWAOy; EVD-recT9nVfjN2snhuCi; EVD-recNRAElLXonh6n4A</t>
        </is>
      </c>
      <c r="J2" s="2" t="inlineStr">
        <is>
          <t>ROB-recqfCoNgY3BgXINx; ROB-reckOFPCVHjlD6KJF</t>
        </is>
      </c>
    </row>
    <row r="3">
      <c r="A3" s="2" t="inlineStr">
        <is>
          <t>Mission 34</t>
        </is>
      </c>
      <c r="B3" s="2" t="inlineStr">
        <is>
          <t>2026-02-08 to 2026-02-21</t>
        </is>
      </c>
      <c r="C3" s="2" t="inlineStr">
        <is>
          <t>van</t>
        </is>
      </c>
      <c r="D3" s="2" t="inlineStr">
        <is>
          <t>not stated per line</t>
        </is>
      </c>
      <c r="E3" s="2" t="n">
        <v>13</v>
      </c>
      <c r="F3" s="2" t="n">
        <v>260</v>
      </c>
      <c r="G3" s="2" t="inlineStr">
        <is>
          <t>Nutridrink 13 boxes 260 kg confirmed. Also named without quantities: 2 generators, inverter/charger, medical supplies, mixed food, second-hand clothing.</t>
        </is>
      </c>
      <c r="H3" s="2" t="inlineStr">
        <is>
          <t>supported (Kees note)</t>
        </is>
      </c>
      <c r="I3" s="2" t="inlineStr">
        <is>
          <t>EVD-recQPFCLknLS7NRoI; EVD-reccKKxnjMSvh7bql</t>
        </is>
      </c>
      <c r="J3" s="2" t="inlineStr">
        <is>
          <t>ROB-recnh2w8NfAksexUL</t>
        </is>
      </c>
    </row>
    <row r="4">
      <c r="A4" s="2" t="inlineStr">
        <is>
          <t>Mission 35</t>
        </is>
      </c>
      <c r="B4" s="2" t="inlineStr">
        <is>
          <t>2026-04-06 to 2026-04-17</t>
        </is>
      </c>
      <c r="C4" s="2" t="inlineStr">
        <is>
          <t>van</t>
        </is>
      </c>
      <c r="D4" s="2" t="inlineStr">
        <is>
          <t>Lighthouse Makariv; Traveling Colonels (Monty); scooter recipient unknown</t>
        </is>
      </c>
      <c r="E4" s="2" t="n">
        <v>61</v>
      </c>
      <c r="F4" s="2" t="n">
        <v>686</v>
      </c>
      <c r="G4" s="2" t="inlineStr">
        <is>
          <t>13 food 253; 17 small food/bars 24; 1 mobility scooter 97; 16 expired medical supplies 128; 12 medical nutrition 154; 2 clothing 30. James tab: 630 kg, 'two ambulances delivery' (no figures).</t>
        </is>
      </c>
      <c r="H4" s="2" t="inlineStr">
        <is>
          <t>supported (Kees note)</t>
        </is>
      </c>
      <c r="I4" s="2" t="inlineStr">
        <is>
          <t>EVD-recDpcZyE0q3nqz4p; EVD-reclaxOv0x7yGfjXB</t>
        </is>
      </c>
      <c r="J4" s="2" t="inlineStr">
        <is>
          <t>ROB-recR0aCTKpJQY7a1T</t>
        </is>
      </c>
    </row>
    <row r="5">
      <c r="A5" s="2" t="inlineStr">
        <is>
          <t>Mission 36</t>
        </is>
      </c>
      <c r="B5" s="2" t="inlineStr">
        <is>
          <t>2026-05-24 to 2026-06-07</t>
        </is>
      </c>
      <c r="C5" s="2" t="inlineStr">
        <is>
          <t>van</t>
        </is>
      </c>
      <c r="D5" s="2" t="inlineStr">
        <is>
          <t>Lighthouse Makariv; Bogdan (evac team); Kamyanka</t>
        </is>
      </c>
      <c r="E5" s="2" t="n">
        <v>64</v>
      </c>
      <c r="F5" s="2" t="n">
        <v>507</v>
      </c>
      <c r="G5" s="2" t="inlineStr">
        <is>
          <t>Food 23/245; med nutrition 14/112; med nutrition accessories 5/20; medical accessories (evac) 2/10; fire extinguishers 15/90; clothing 4/40; evacuation chair 1/10.</t>
        </is>
      </c>
      <c r="H5" s="2" t="inlineStr">
        <is>
          <t>supported (Kees note)</t>
        </is>
      </c>
      <c r="I5" s="2" t="inlineStr">
        <is>
          <t>EVD-recRp4HzSsJj4FwZ5</t>
        </is>
      </c>
      <c r="J5" s="2" t="inlineStr">
        <is>
          <t>ROB-recjIzGNdwLJfju2W</t>
        </is>
      </c>
    </row>
    <row r="6">
      <c r="A6" s="2" t="inlineStr">
        <is>
          <t>Mission 37</t>
        </is>
      </c>
      <c r="B6" s="2" t="inlineStr">
        <is>
          <t>2026-07-04</t>
        </is>
      </c>
      <c r="C6" s="2" t="inlineStr">
        <is>
          <t>NOT a van mission — label used for the 4 July truck (SHI-0001) and camp fundraising</t>
        </is>
      </c>
      <c r="D6" s="2" t="inlineStr"/>
      <c r="E6" s="2" t="inlineStr"/>
      <c r="F6" s="2" t="inlineStr"/>
      <c r="G6" s="2" t="inlineStr">
        <is>
          <t>See Shipments SHI-0001.</t>
        </is>
      </c>
      <c r="H6" s="2" t="inlineStr">
        <is>
          <t>supported</t>
        </is>
      </c>
      <c r="I6" s="2" t="inlineStr">
        <is>
          <t>EVD-recJI4FH0GVHLhByd; EVD-recOX5n0nZClxgYdP; EVD-recYfz6sYRCJERXPw</t>
        </is>
      </c>
      <c r="J6" s="2" t="inlineStr">
        <is>
          <t>ROB-recDmbeTI4kj1LGMs</t>
        </is>
      </c>
    </row>
    <row r="7">
      <c r="A7" s="2" t="inlineStr">
        <is>
          <t>Mission 38</t>
        </is>
      </c>
      <c r="B7" s="2" t="inlineStr">
        <is>
          <t>2026-07-11 to 2026-07-21 (camp 13–17 Jul)</t>
        </is>
      </c>
      <c r="C7" s="2" t="inlineStr">
        <is>
          <t>van</t>
        </is>
      </c>
      <c r="D7" s="2" t="inlineStr">
        <is>
          <t>Lighthouse Makariv</t>
        </is>
      </c>
      <c r="E7" s="2" t="n">
        <v>57</v>
      </c>
      <c r="F7" s="2" t="n">
        <v>525</v>
      </c>
      <c r="G7" s="2" t="inlineStr">
        <is>
          <t>Medical food 55/510; food 2/15 (1 tea, 1 coffee). List sent to James 10 Jul.</t>
        </is>
      </c>
      <c r="H7" s="2" t="inlineStr">
        <is>
          <t>supported (Kees note)</t>
        </is>
      </c>
      <c r="I7" s="2" t="inlineStr">
        <is>
          <t>EVD-reckPmE5zeLQ5sBhj</t>
        </is>
      </c>
      <c r="J7" s="2" t="inlineStr">
        <is>
          <t>ROB-recj1ALxy6QQ0ajdE</t>
        </is>
      </c>
    </row>
    <row r="8">
      <c r="A8" s="2" t="inlineStr">
        <is>
          <t>Mission 39</t>
        </is>
      </c>
      <c r="B8" s="2" t="inlineStr">
        <is>
          <t>2026-08-21 to 2026-09-03</t>
        </is>
      </c>
      <c r="C8" s="2" t="inlineStr">
        <is>
          <t>van</t>
        </is>
      </c>
      <c r="D8" s="2" t="inlineStr">
        <is>
          <t>Traveling Colonels (Monty); Shelter Kramatorsk; Evacuation Team Kramatorsk; TBD; Kam'yanka; Lighthouse Makariv</t>
        </is>
      </c>
      <c r="E8" s="2" t="n">
        <v>167</v>
      </c>
      <c r="F8" s="2" t="n">
        <v>1286</v>
      </c>
      <c r="G8" s="2" t="inlineStr">
        <is>
          <t>8 lines; row 6 (15 medical, 155 kg) recipient TBD (frontline hospitals per Debbie; fallback Monty).</t>
        </is>
      </c>
      <c r="H8" s="2" t="inlineStr">
        <is>
          <t>supported (loading list PDF)</t>
        </is>
      </c>
      <c r="I8" s="2" t="inlineStr">
        <is>
          <t>EVD-recHxzwdLF80ShqFA</t>
        </is>
      </c>
      <c r="J8" s="2" t="inlineStr">
        <is>
          <t>ROB-recFHukYf2JtvL0Ak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6" customWidth="1" min="4" max="4"/>
    <col width="12" customWidth="1" min="5" max="5"/>
    <col width="12" customWidth="1" min="6" max="6"/>
    <col width="46" customWidth="1" min="7" max="7"/>
    <col width="50" customWidth="1" min="8" max="8"/>
    <col width="24" customWidth="1" min="9" max="9"/>
  </cols>
  <sheetData>
    <row r="1">
      <c r="A1" s="1" t="inlineStr">
        <is>
          <t>shipment_ref</t>
        </is>
      </c>
      <c r="B1" s="1" t="inlineStr">
        <is>
          <t>pallet_ref_as_stated</t>
        </is>
      </c>
      <c r="C1" s="1" t="inlineStr">
        <is>
          <t>consignee_stated</t>
        </is>
      </c>
      <c r="D1" s="1" t="inlineStr">
        <is>
          <t>onward_destination_stated</t>
        </is>
      </c>
      <c r="E1" s="1" t="inlineStr">
        <is>
          <t>boxes_or_items_stated</t>
        </is>
      </c>
      <c r="F1" s="1" t="inlineStr">
        <is>
          <t>kg_stated</t>
        </is>
      </c>
      <c r="G1" s="1" t="inlineStr">
        <is>
          <t>categories_as_stated</t>
        </is>
      </c>
      <c r="H1" s="1" t="inlineStr">
        <is>
          <t>notes</t>
        </is>
      </c>
      <c r="I1" s="1" t="inlineStr">
        <is>
          <t>source_evidence</t>
        </is>
      </c>
    </row>
    <row r="2">
      <c r="A2" s="2" t="inlineStr">
        <is>
          <t>TRK-2026-01-20</t>
        </is>
      </c>
      <c r="B2" s="2" t="inlineStr">
        <is>
          <t>P1</t>
        </is>
      </c>
      <c r="C2" s="2" t="inlineStr">
        <is>
          <t>NR</t>
        </is>
      </c>
      <c r="D2" s="2" t="inlineStr">
        <is>
          <t>Anatolii</t>
        </is>
      </c>
      <c r="E2" s="2" t="n">
        <v>3</v>
      </c>
      <c r="F2" s="2" t="n">
        <v>257</v>
      </c>
      <c r="G2" s="2" t="inlineStr">
        <is>
          <t>Clothing 3 (children winter)</t>
        </is>
      </c>
      <c r="H2" s="2" t="inlineStr"/>
      <c r="I2" s="2" t="inlineStr">
        <is>
          <t>EVD-recpYmNnGlJCfftyh</t>
        </is>
      </c>
    </row>
    <row r="3">
      <c r="A3" s="2" t="inlineStr">
        <is>
          <t>TRK-2026-01-20</t>
        </is>
      </c>
      <c r="B3" s="2" t="inlineStr">
        <is>
          <t>P2</t>
        </is>
      </c>
      <c r="C3" s="2" t="inlineStr">
        <is>
          <t>NR</t>
        </is>
      </c>
      <c r="D3" s="2" t="inlineStr">
        <is>
          <t>Anatolii</t>
        </is>
      </c>
      <c r="E3" s="2" t="n">
        <v>3</v>
      </c>
      <c r="F3" s="2" t="n">
        <v>320</v>
      </c>
      <c r="G3" s="2" t="inlineStr">
        <is>
          <t>Clothing 3 (children winter)</t>
        </is>
      </c>
      <c r="H3" s="2" t="inlineStr"/>
      <c r="I3" s="2" t="inlineStr">
        <is>
          <t>EVD-recpYmNnGlJCfftyh</t>
        </is>
      </c>
    </row>
    <row r="4">
      <c r="A4" s="2" t="inlineStr">
        <is>
          <t>TRK-2026-01-20</t>
        </is>
      </c>
      <c r="B4" s="2" t="inlineStr">
        <is>
          <t>P3</t>
        </is>
      </c>
      <c r="C4" s="2" t="inlineStr">
        <is>
          <t>HW</t>
        </is>
      </c>
      <c r="D4" s="2" t="inlineStr"/>
      <c r="E4" s="2" t="n">
        <v>3</v>
      </c>
      <c r="F4" s="2" t="n">
        <v>324</v>
      </c>
      <c r="G4" s="2" t="inlineStr">
        <is>
          <t>Clothing 3 (men winter 2, men summer 1)</t>
        </is>
      </c>
      <c r="H4" s="2" t="inlineStr"/>
      <c r="I4" s="2" t="inlineStr">
        <is>
          <t>EVD-recpYmNnGlJCfftyh</t>
        </is>
      </c>
    </row>
    <row r="5">
      <c r="A5" s="2" t="inlineStr">
        <is>
          <t>TRK-2026-01-20</t>
        </is>
      </c>
      <c r="B5" s="2" t="inlineStr">
        <is>
          <t>P5</t>
        </is>
      </c>
      <c r="C5" s="2" t="inlineStr">
        <is>
          <t>HW</t>
        </is>
      </c>
      <c r="D5" s="2" t="inlineStr"/>
      <c r="E5" s="2" t="n">
        <v>3</v>
      </c>
      <c r="F5" s="2" t="n">
        <v>285</v>
      </c>
      <c r="G5" s="2" t="inlineStr">
        <is>
          <t>Clothing 3 (men winter 2, unknown 1)</t>
        </is>
      </c>
      <c r="H5" s="2" t="inlineStr"/>
      <c r="I5" s="2" t="inlineStr">
        <is>
          <t>EVD-recpYmNnGlJCfftyh</t>
        </is>
      </c>
    </row>
    <row r="6">
      <c r="A6" s="2" t="inlineStr">
        <is>
          <t>TRK-2026-01-20</t>
        </is>
      </c>
      <c r="B6" s="2" t="inlineStr">
        <is>
          <t>P7</t>
        </is>
      </c>
      <c r="C6" s="2" t="inlineStr">
        <is>
          <t>HW</t>
        </is>
      </c>
      <c r="D6" s="2" t="inlineStr"/>
      <c r="E6" s="2" t="n">
        <v>20</v>
      </c>
      <c r="F6" s="2" t="n">
        <v>325</v>
      </c>
      <c r="G6" s="2" t="inlineStr">
        <is>
          <t>Bedding 20</t>
        </is>
      </c>
      <c r="H6" s="2" t="inlineStr"/>
      <c r="I6" s="2" t="inlineStr">
        <is>
          <t>EVD-recpYmNnGlJCfftyh</t>
        </is>
      </c>
    </row>
    <row r="7">
      <c r="A7" s="2" t="inlineStr">
        <is>
          <t>TRK-2026-01-20</t>
        </is>
      </c>
      <c r="B7" s="2" t="inlineStr">
        <is>
          <t>P9</t>
        </is>
      </c>
      <c r="C7" s="2" t="inlineStr">
        <is>
          <t>HW</t>
        </is>
      </c>
      <c r="D7" s="2" t="inlineStr">
        <is>
          <t>H4U</t>
        </is>
      </c>
      <c r="E7" s="2" t="n">
        <v>36</v>
      </c>
      <c r="F7" s="2" t="n">
        <v>675</v>
      </c>
      <c r="G7" s="2" t="inlineStr">
        <is>
          <t>Food 36 (hero boxes)</t>
        </is>
      </c>
      <c r="H7" s="2" t="inlineStr"/>
      <c r="I7" s="2" t="inlineStr">
        <is>
          <t>EVD-recpYmNnGlJCfftyh</t>
        </is>
      </c>
    </row>
    <row r="8">
      <c r="A8" s="2" t="inlineStr">
        <is>
          <t>TRK-2026-01-20</t>
        </is>
      </c>
      <c r="B8" s="2" t="inlineStr">
        <is>
          <t>P11</t>
        </is>
      </c>
      <c r="C8" s="2" t="inlineStr">
        <is>
          <t>HW</t>
        </is>
      </c>
      <c r="D8" s="2" t="inlineStr"/>
      <c r="E8" s="2" t="n">
        <v>28</v>
      </c>
      <c r="F8" s="2" t="n">
        <v>450</v>
      </c>
      <c r="G8" s="2" t="inlineStr">
        <is>
          <t>Kitchen ware 28</t>
        </is>
      </c>
      <c r="H8" s="2" t="inlineStr"/>
      <c r="I8" s="2" t="inlineStr">
        <is>
          <t>EVD-recpYmNnGlJCfftyh</t>
        </is>
      </c>
    </row>
    <row r="9">
      <c r="A9" s="2" t="inlineStr">
        <is>
          <t>TRK-2026-01-20</t>
        </is>
      </c>
      <c r="B9" s="2" t="inlineStr">
        <is>
          <t>P13</t>
        </is>
      </c>
      <c r="C9" s="2" t="inlineStr">
        <is>
          <t>NR</t>
        </is>
      </c>
      <c r="D9" s="2" t="inlineStr">
        <is>
          <t>Anatolii</t>
        </is>
      </c>
      <c r="E9" s="2" t="n">
        <v>72</v>
      </c>
      <c r="F9" s="2" t="n">
        <v>565</v>
      </c>
      <c r="G9" s="2" t="inlineStr">
        <is>
          <t>Food 72 (Schoolfruit)</t>
        </is>
      </c>
      <c r="H9" s="2" t="inlineStr"/>
      <c r="I9" s="2" t="inlineStr">
        <is>
          <t>EVD-recpYmNnGlJCfftyh</t>
        </is>
      </c>
    </row>
    <row r="10">
      <c r="A10" s="2" t="inlineStr">
        <is>
          <t>TRK-2026-01-20</t>
        </is>
      </c>
      <c r="B10" s="2" t="inlineStr">
        <is>
          <t>P14</t>
        </is>
      </c>
      <c r="C10" s="2" t="inlineStr">
        <is>
          <t>NR</t>
        </is>
      </c>
      <c r="D10" s="2" t="inlineStr">
        <is>
          <t>Anatolii</t>
        </is>
      </c>
      <c r="E10" s="2" t="n">
        <v>72</v>
      </c>
      <c r="F10" s="2" t="n">
        <v>566</v>
      </c>
      <c r="G10" s="2" t="inlineStr">
        <is>
          <t>Food 72 (Schoolfruit)</t>
        </is>
      </c>
      <c r="H10" s="2" t="inlineStr"/>
      <c r="I10" s="2" t="inlineStr">
        <is>
          <t>EVD-recpYmNnGlJCfftyh</t>
        </is>
      </c>
    </row>
    <row r="11">
      <c r="A11" s="2" t="inlineStr">
        <is>
          <t>TRK-2026-01-20</t>
        </is>
      </c>
      <c r="B11" s="2" t="inlineStr">
        <is>
          <t>P15</t>
        </is>
      </c>
      <c r="C11" s="2" t="inlineStr">
        <is>
          <t>NR</t>
        </is>
      </c>
      <c r="D11" s="2" t="inlineStr">
        <is>
          <t>Anatolii</t>
        </is>
      </c>
      <c r="E11" s="2" t="n">
        <v>72</v>
      </c>
      <c r="F11" s="2" t="n">
        <v>568</v>
      </c>
      <c r="G11" s="2" t="inlineStr">
        <is>
          <t>Food 72 (Schoolfruit)</t>
        </is>
      </c>
      <c r="H11" s="2" t="inlineStr">
        <is>
          <t>Working sheet says 566; CMR/Total 568</t>
        </is>
      </c>
      <c r="I11" s="2" t="inlineStr">
        <is>
          <t>EVD-recpYmNnGlJCfftyh</t>
        </is>
      </c>
    </row>
    <row r="12">
      <c r="A12" s="2" t="inlineStr">
        <is>
          <t>TRK-2026-01-20</t>
        </is>
      </c>
      <c r="B12" s="2" t="inlineStr">
        <is>
          <t>P17</t>
        </is>
      </c>
      <c r="C12" s="2" t="inlineStr">
        <is>
          <t>HW</t>
        </is>
      </c>
      <c r="D12" s="2" t="inlineStr"/>
      <c r="E12" s="2" t="n">
        <v>34</v>
      </c>
      <c r="F12" s="2" t="n">
        <v>759</v>
      </c>
      <c r="G12" s="2" t="inlineStr">
        <is>
          <t>Food 34 + 4 bags rice</t>
        </is>
      </c>
      <c r="H12" s="2" t="inlineStr">
        <is>
          <t>Total sheet: Food 34 boxes; rice bags not counted as boxes</t>
        </is>
      </c>
      <c r="I12" s="2" t="inlineStr">
        <is>
          <t>EVD-recpYmNnGlJCfftyh</t>
        </is>
      </c>
    </row>
    <row r="13">
      <c r="A13" s="2" t="inlineStr">
        <is>
          <t>TRK-2026-01-20</t>
        </is>
      </c>
      <c r="B13" s="2" t="inlineStr">
        <is>
          <t>P19</t>
        </is>
      </c>
      <c r="C13" s="2" t="inlineStr">
        <is>
          <t>HW</t>
        </is>
      </c>
      <c r="D13" s="2" t="inlineStr">
        <is>
          <t>DCA Donietsk</t>
        </is>
      </c>
      <c r="E13" s="2" t="n">
        <v>20</v>
      </c>
      <c r="F13" s="2" t="n">
        <v>275</v>
      </c>
      <c r="G13" s="2" t="inlineStr">
        <is>
          <t>Baby products 20 (diapers)</t>
        </is>
      </c>
      <c r="H13" s="2" t="inlineStr"/>
      <c r="I13" s="2" t="inlineStr">
        <is>
          <t>EVD-recpYmNnGlJCfftyh</t>
        </is>
      </c>
    </row>
    <row r="14">
      <c r="A14" s="2" t="inlineStr">
        <is>
          <t>TRK-2026-01-20</t>
        </is>
      </c>
      <c r="B14" s="2" t="inlineStr">
        <is>
          <t>P20</t>
        </is>
      </c>
      <c r="C14" s="2" t="inlineStr">
        <is>
          <t>HW</t>
        </is>
      </c>
      <c r="D14" s="2" t="inlineStr">
        <is>
          <t>H4U</t>
        </is>
      </c>
      <c r="E14" s="2" t="n">
        <v>36</v>
      </c>
      <c r="F14" s="2" t="n">
        <v>628</v>
      </c>
      <c r="G14" s="2" t="inlineStr">
        <is>
          <t>Food 36 (animal food on working sheet)</t>
        </is>
      </c>
      <c r="H14" s="2" t="inlineStr">
        <is>
          <t>Declared as Food; working sheet 'Animal food'</t>
        </is>
      </c>
      <c r="I14" s="2" t="inlineStr">
        <is>
          <t>EVD-recpYmNnGlJCfftyh</t>
        </is>
      </c>
    </row>
    <row r="15">
      <c r="A15" s="2" t="inlineStr">
        <is>
          <t>TRK-2026-01-20</t>
        </is>
      </c>
      <c r="B15" s="2" t="inlineStr">
        <is>
          <t>P21</t>
        </is>
      </c>
      <c r="C15" s="2" t="inlineStr">
        <is>
          <t>HW</t>
        </is>
      </c>
      <c r="D15" s="2" t="inlineStr">
        <is>
          <t>H4U</t>
        </is>
      </c>
      <c r="E15" s="2" t="n">
        <v>31</v>
      </c>
      <c r="F15" s="2" t="n">
        <v>668</v>
      </c>
      <c r="G15" s="2" t="inlineStr">
        <is>
          <t>Food 31 (hero)</t>
        </is>
      </c>
      <c r="H15" s="2" t="inlineStr"/>
      <c r="I15" s="2" t="inlineStr">
        <is>
          <t>EVD-recpYmNnGlJCfftyh</t>
        </is>
      </c>
    </row>
    <row r="16">
      <c r="A16" s="2" t="inlineStr">
        <is>
          <t>TRK-2026-01-20</t>
        </is>
      </c>
      <c r="B16" s="2" t="inlineStr">
        <is>
          <t>P23</t>
        </is>
      </c>
      <c r="C16" s="2" t="inlineStr">
        <is>
          <t>NR</t>
        </is>
      </c>
      <c r="D16" s="2" t="inlineStr">
        <is>
          <t>Anatolii</t>
        </is>
      </c>
      <c r="E16" s="2" t="n">
        <v>4</v>
      </c>
      <c r="F16" s="2" t="n">
        <v>357</v>
      </c>
      <c r="G16" s="2" t="inlineStr">
        <is>
          <t>Hospital supplies 4</t>
        </is>
      </c>
      <c r="H16" s="2" t="inlineStr">
        <is>
          <t>Working sheet: 3 boxes/275 kg (endoscopy light sources, X-ray light boxes, OT light systems); CMR 4/357</t>
        </is>
      </c>
      <c r="I16" s="2" t="inlineStr">
        <is>
          <t>EVD-recpYmNnGlJCfftyh</t>
        </is>
      </c>
    </row>
    <row r="17">
      <c r="A17" s="2" t="inlineStr">
        <is>
          <t>TRK-2026-01-20</t>
        </is>
      </c>
      <c r="B17" s="2" t="inlineStr">
        <is>
          <t>P24</t>
        </is>
      </c>
      <c r="C17" s="2" t="inlineStr">
        <is>
          <t>HW</t>
        </is>
      </c>
      <c r="D17" s="2" t="inlineStr"/>
      <c r="E17" s="2" t="n">
        <v>36</v>
      </c>
      <c r="F17" s="2" t="n">
        <v>835</v>
      </c>
      <c r="G17" s="2" t="inlineStr">
        <is>
          <t>Hygiene 36</t>
        </is>
      </c>
      <c r="H17" s="2" t="inlineStr"/>
      <c r="I17" s="2" t="inlineStr">
        <is>
          <t>EVD-recpYmNnGlJCfftyh</t>
        </is>
      </c>
    </row>
    <row r="18">
      <c r="A18" s="2" t="inlineStr">
        <is>
          <t>TRK-2026-01-20</t>
        </is>
      </c>
      <c r="B18" s="2" t="inlineStr">
        <is>
          <t>P25</t>
        </is>
      </c>
      <c r="C18" s="2" t="inlineStr">
        <is>
          <t>HW</t>
        </is>
      </c>
      <c r="D18" s="2" t="inlineStr">
        <is>
          <t>H4U</t>
        </is>
      </c>
      <c r="E18" s="2" t="n">
        <v>36</v>
      </c>
      <c r="F18" s="2" t="n">
        <v>727</v>
      </c>
      <c r="G18" s="2" t="inlineStr">
        <is>
          <t>Food 36 (hero)</t>
        </is>
      </c>
      <c r="H18" s="2" t="inlineStr"/>
      <c r="I18" s="2" t="inlineStr">
        <is>
          <t>EVD-recpYmNnGlJCfftyh</t>
        </is>
      </c>
    </row>
    <row r="19">
      <c r="A19" s="2" t="inlineStr">
        <is>
          <t>TRK-2026-01-20</t>
        </is>
      </c>
      <c r="B19" s="2" t="inlineStr">
        <is>
          <t>P28</t>
        </is>
      </c>
      <c r="C19" s="2" t="inlineStr">
        <is>
          <t>HW</t>
        </is>
      </c>
      <c r="D19" s="2" t="inlineStr">
        <is>
          <t>DCA - Kyiv</t>
        </is>
      </c>
      <c r="E19" s="2" t="n">
        <v>28</v>
      </c>
      <c r="F19" s="2" t="n">
        <v>275</v>
      </c>
      <c r="G19" s="2" t="inlineStr">
        <is>
          <t>Hospital supplies 28</t>
        </is>
      </c>
      <c r="H19" s="2" t="inlineStr"/>
      <c r="I19" s="2" t="inlineStr">
        <is>
          <t>EVD-recpYmNnGlJCfftyh</t>
        </is>
      </c>
    </row>
    <row r="20">
      <c r="A20" s="2" t="inlineStr">
        <is>
          <t>TRK-2026-01-20</t>
        </is>
      </c>
      <c r="B20" s="2" t="inlineStr">
        <is>
          <t>P29</t>
        </is>
      </c>
      <c r="C20" s="2" t="inlineStr">
        <is>
          <t>HW</t>
        </is>
      </c>
      <c r="D20" s="2" t="inlineStr">
        <is>
          <t>H4U</t>
        </is>
      </c>
      <c r="E20" s="2" t="n">
        <v>36</v>
      </c>
      <c r="F20" s="2" t="n">
        <v>665</v>
      </c>
      <c r="G20" s="2" t="inlineStr">
        <is>
          <t>Food 36</t>
        </is>
      </c>
      <c r="H20" s="2" t="inlineStr"/>
      <c r="I20" s="2" t="inlineStr">
        <is>
          <t>EVD-recpYmNnGlJCfftyh</t>
        </is>
      </c>
    </row>
    <row r="21">
      <c r="A21" s="2" t="inlineStr">
        <is>
          <t>TRK-2026-01-20</t>
        </is>
      </c>
      <c r="B21" s="2" t="inlineStr">
        <is>
          <t>P30</t>
        </is>
      </c>
      <c r="C21" s="2" t="inlineStr">
        <is>
          <t>HW</t>
        </is>
      </c>
      <c r="D21" s="2" t="inlineStr">
        <is>
          <t>DCA Donietsk</t>
        </is>
      </c>
      <c r="E21" s="2" t="n">
        <v>36</v>
      </c>
      <c r="F21" s="2" t="n">
        <v>512</v>
      </c>
      <c r="G21" s="2" t="inlineStr">
        <is>
          <t>Food 32 + Hygiene 4</t>
        </is>
      </c>
      <c r="H21" s="2" t="inlineStr">
        <is>
          <t>Combination pallet; HW sheet implies hygiene 100 kg, Total sheet 0</t>
        </is>
      </c>
      <c r="I21" s="2" t="inlineStr">
        <is>
          <t>EVD-recpYmNnGlJCfftyh</t>
        </is>
      </c>
    </row>
    <row r="22">
      <c r="A22" s="2" t="inlineStr">
        <is>
          <t>TRK-2026-03-10</t>
        </is>
      </c>
      <c r="B22" s="2" t="inlineStr">
        <is>
          <t>P1</t>
        </is>
      </c>
      <c r="C22" s="2" t="inlineStr">
        <is>
          <t>NR</t>
        </is>
      </c>
      <c r="D22" s="2" t="inlineStr"/>
      <c r="E22" s="2" t="n">
        <v>56</v>
      </c>
      <c r="F22" s="2" t="n">
        <v>505</v>
      </c>
      <c r="G22" s="2" t="inlineStr">
        <is>
          <t>Food 48 + Clothing 8</t>
        </is>
      </c>
      <c r="H22" s="2">
        <f> Jan working-sheet pallet 12</f>
        <v/>
      </c>
      <c r="I22" s="2" t="inlineStr">
        <is>
          <t>EVD-recuxxn3mlOO1aDUI</t>
        </is>
      </c>
    </row>
    <row r="23">
      <c r="A23" s="2" t="inlineStr">
        <is>
          <t>TRK-2026-03-10</t>
        </is>
      </c>
      <c r="B23" s="2" t="inlineStr">
        <is>
          <t>P2</t>
        </is>
      </c>
      <c r="C23" s="2" t="inlineStr">
        <is>
          <t>NR</t>
        </is>
      </c>
      <c r="D23" s="2" t="inlineStr"/>
      <c r="E23" s="2" t="n">
        <v>72</v>
      </c>
      <c r="F23" s="2" t="n">
        <v>564</v>
      </c>
      <c r="G23" s="2" t="inlineStr">
        <is>
          <t>Food 72</t>
        </is>
      </c>
      <c r="H23" s="2" t="inlineStr"/>
      <c r="I23" s="2" t="inlineStr">
        <is>
          <t>EVD-recuxxn3mlOO1aDUI</t>
        </is>
      </c>
    </row>
    <row r="24">
      <c r="A24" s="2" t="inlineStr">
        <is>
          <t>TRK-2026-03-10</t>
        </is>
      </c>
      <c r="B24" s="2" t="inlineStr">
        <is>
          <t>P16</t>
        </is>
      </c>
      <c r="C24" s="2" t="inlineStr">
        <is>
          <t>NR</t>
        </is>
      </c>
      <c r="D24" s="2" t="inlineStr"/>
      <c r="E24" s="2" t="n">
        <v>72</v>
      </c>
      <c r="F24" s="2" t="n">
        <v>570</v>
      </c>
      <c r="G24" s="2" t="inlineStr">
        <is>
          <t>Food 72</t>
        </is>
      </c>
      <c r="H24" s="2" t="inlineStr"/>
      <c r="I24" s="2" t="inlineStr">
        <is>
          <t>EVD-recuxxn3mlOO1aDUI</t>
        </is>
      </c>
    </row>
    <row r="25">
      <c r="A25" s="2" t="inlineStr">
        <is>
          <t>TRK-2026-03-10</t>
        </is>
      </c>
      <c r="B25" s="2" t="inlineStr">
        <is>
          <t>P24</t>
        </is>
      </c>
      <c r="C25" s="2" t="inlineStr">
        <is>
          <t>NR</t>
        </is>
      </c>
      <c r="D25" s="2" t="inlineStr"/>
      <c r="E25" s="2" t="n">
        <v>92</v>
      </c>
      <c r="F25" s="2" t="n">
        <v>892</v>
      </c>
      <c r="G25" s="2" t="inlineStr">
        <is>
          <t>Medical nutrition 92</t>
        </is>
      </c>
      <c r="H25" s="2" t="inlineStr"/>
      <c r="I25" s="2" t="inlineStr">
        <is>
          <t>EVD-recuxxn3mlOO1aDUI</t>
        </is>
      </c>
    </row>
    <row r="26">
      <c r="A26" s="2" t="inlineStr">
        <is>
          <t>TRK-2026-03-10</t>
        </is>
      </c>
      <c r="B26" s="2" t="inlineStr">
        <is>
          <t>P28</t>
        </is>
      </c>
      <c r="C26" s="2" t="inlineStr">
        <is>
          <t>NR</t>
        </is>
      </c>
      <c r="D26" s="2" t="inlineStr"/>
      <c r="E26" s="2" t="n">
        <v>24</v>
      </c>
      <c r="F26" s="2" t="n">
        <v>276</v>
      </c>
      <c r="G26" s="2" t="inlineStr">
        <is>
          <t>Incontinence 24</t>
        </is>
      </c>
      <c r="H26" s="2">
        <f> Jan working-sheet pallet 22 (or P27)</f>
        <v/>
      </c>
      <c r="I26" s="2" t="inlineStr">
        <is>
          <t>EVD-recuxxn3mlOO1aDUI</t>
        </is>
      </c>
    </row>
    <row r="27">
      <c r="A27" s="2" t="inlineStr">
        <is>
          <t>TRK-2026-03-10</t>
        </is>
      </c>
      <c r="B27" s="2" t="inlineStr">
        <is>
          <t>P29</t>
        </is>
      </c>
      <c r="C27" s="2" t="inlineStr">
        <is>
          <t>NR</t>
        </is>
      </c>
      <c r="D27" s="2" t="inlineStr"/>
      <c r="E27" s="2" t="n">
        <v>2</v>
      </c>
      <c r="F27" s="2" t="n">
        <v>825</v>
      </c>
      <c r="G27" s="2" t="inlineStr">
        <is>
          <t>Fire extinguishers 2</t>
        </is>
      </c>
      <c r="H27" s="2" t="inlineStr"/>
      <c r="I27" s="2" t="inlineStr">
        <is>
          <t>EVD-recuxxn3mlOO1aDUI</t>
        </is>
      </c>
    </row>
    <row r="28">
      <c r="A28" s="2" t="inlineStr">
        <is>
          <t>TRK-2026-03-10</t>
        </is>
      </c>
      <c r="B28" s="2" t="inlineStr">
        <is>
          <t>P30</t>
        </is>
      </c>
      <c r="C28" s="2" t="inlineStr">
        <is>
          <t>NR</t>
        </is>
      </c>
      <c r="D28" s="2" t="inlineStr"/>
      <c r="E28" s="2" t="n">
        <v>24</v>
      </c>
      <c r="F28" s="2" t="n">
        <v>350</v>
      </c>
      <c r="G28" s="2" t="inlineStr">
        <is>
          <t>Clothing 24</t>
        </is>
      </c>
      <c r="H28" s="2" t="inlineStr">
        <is>
          <t>WhatsApp #44 winter clothing 24</t>
        </is>
      </c>
      <c r="I28" s="2" t="inlineStr">
        <is>
          <t>EVD-recuxxn3mlOO1aDUI</t>
        </is>
      </c>
    </row>
    <row r="29">
      <c r="A29" s="2" t="inlineStr">
        <is>
          <t>TRK-2026-03-10</t>
        </is>
      </c>
      <c r="B29" s="2" t="inlineStr">
        <is>
          <t>Ploose</t>
        </is>
      </c>
      <c r="C29" s="2" t="inlineStr">
        <is>
          <t>NR</t>
        </is>
      </c>
      <c r="D29" s="2" t="inlineStr"/>
      <c r="E29" s="2" t="n">
        <v>134</v>
      </c>
      <c r="F29" s="2" t="n">
        <v>244</v>
      </c>
      <c r="G29" s="2" t="inlineStr">
        <is>
          <t>Duvets 55, pillows 49, towels 3, blankets 8, bed linen 6, chairs 7, hygiene boxes 5, massage mattress 1</t>
        </is>
      </c>
      <c r="H29" s="2" t="inlineStr">
        <is>
          <t>items, not boxes</t>
        </is>
      </c>
      <c r="I29" s="2" t="inlineStr">
        <is>
          <t>EVD-recuxxn3mlOO1aDUI</t>
        </is>
      </c>
    </row>
    <row r="30">
      <c r="A30" s="2" t="inlineStr">
        <is>
          <t>TRK-2026-03-10</t>
        </is>
      </c>
      <c r="B30" s="2" t="inlineStr">
        <is>
          <t>P3</t>
        </is>
      </c>
      <c r="C30" s="2" t="inlineStr">
        <is>
          <t>HW</t>
        </is>
      </c>
      <c r="D30" s="2" t="inlineStr"/>
      <c r="E30" s="2" t="n">
        <v>36</v>
      </c>
      <c r="F30" s="2" t="n">
        <v>705</v>
      </c>
      <c r="G30" s="2" t="inlineStr">
        <is>
          <t>Food 36</t>
        </is>
      </c>
      <c r="H30" s="2" t="inlineStr"/>
      <c r="I30" s="2" t="inlineStr">
        <is>
          <t>EVD-recuxxn3mlOO1aDUI</t>
        </is>
      </c>
    </row>
    <row r="31">
      <c r="A31" s="2" t="inlineStr">
        <is>
          <t>TRK-2026-03-10</t>
        </is>
      </c>
      <c r="B31" s="2" t="inlineStr">
        <is>
          <t>P4</t>
        </is>
      </c>
      <c r="C31" s="2" t="inlineStr">
        <is>
          <t>HW</t>
        </is>
      </c>
      <c r="D31" s="2" t="inlineStr"/>
      <c r="E31" s="2" t="n">
        <v>36</v>
      </c>
      <c r="F31" s="2" t="n">
        <v>516</v>
      </c>
      <c r="G31" s="2" t="inlineStr">
        <is>
          <t>Food 36</t>
        </is>
      </c>
      <c r="H31" s="2" t="inlineStr"/>
      <c r="I31" s="2" t="inlineStr">
        <is>
          <t>EVD-recuxxn3mlOO1aDUI</t>
        </is>
      </c>
    </row>
    <row r="32">
      <c r="A32" s="2" t="inlineStr">
        <is>
          <t>TRK-2026-03-10</t>
        </is>
      </c>
      <c r="B32" s="2" t="inlineStr">
        <is>
          <t>P5</t>
        </is>
      </c>
      <c r="C32" s="2" t="inlineStr">
        <is>
          <t>HW</t>
        </is>
      </c>
      <c r="D32" s="2" t="inlineStr"/>
      <c r="E32" s="2" t="n">
        <v>40</v>
      </c>
      <c r="F32" s="2" t="n">
        <v>350</v>
      </c>
      <c r="G32" s="2" t="inlineStr">
        <is>
          <t>Food 40</t>
        </is>
      </c>
      <c r="H32" s="2" t="inlineStr"/>
      <c r="I32" s="2" t="inlineStr">
        <is>
          <t>EVD-recuxxn3mlOO1aDUI</t>
        </is>
      </c>
    </row>
    <row r="33">
      <c r="A33" s="2" t="inlineStr">
        <is>
          <t>TRK-2026-03-10</t>
        </is>
      </c>
      <c r="B33" s="2" t="inlineStr">
        <is>
          <t>P6</t>
        </is>
      </c>
      <c r="C33" s="2" t="inlineStr">
        <is>
          <t>HW</t>
        </is>
      </c>
      <c r="D33" s="2" t="inlineStr"/>
      <c r="E33" s="2" t="n">
        <v>36</v>
      </c>
      <c r="F33" s="2" t="n">
        <v>753</v>
      </c>
      <c r="G33" s="2" t="inlineStr">
        <is>
          <t>Food 36</t>
        </is>
      </c>
      <c r="H33" s="2" t="inlineStr"/>
      <c r="I33" s="2" t="inlineStr">
        <is>
          <t>EVD-recuxxn3mlOO1aDUI</t>
        </is>
      </c>
    </row>
    <row r="34">
      <c r="A34" s="2" t="inlineStr">
        <is>
          <t>TRK-2026-03-10</t>
        </is>
      </c>
      <c r="B34" s="2" t="inlineStr">
        <is>
          <t>P9</t>
        </is>
      </c>
      <c r="C34" s="2" t="inlineStr">
        <is>
          <t>HW</t>
        </is>
      </c>
      <c r="D34" s="2" t="inlineStr"/>
      <c r="E34" s="2" t="n">
        <v>36</v>
      </c>
      <c r="F34" s="2" t="n">
        <v>995</v>
      </c>
      <c r="G34" s="2" t="inlineStr">
        <is>
          <t>Food 36</t>
        </is>
      </c>
      <c r="H34" s="2" t="inlineStr"/>
      <c r="I34" s="2" t="inlineStr">
        <is>
          <t>EVD-recuxxn3mlOO1aDUI</t>
        </is>
      </c>
    </row>
    <row r="35">
      <c r="A35" s="2" t="inlineStr">
        <is>
          <t>TRK-2026-03-10</t>
        </is>
      </c>
      <c r="B35" s="2" t="inlineStr">
        <is>
          <t>P10</t>
        </is>
      </c>
      <c r="C35" s="2" t="inlineStr">
        <is>
          <t>HW</t>
        </is>
      </c>
      <c r="D35" s="2" t="inlineStr"/>
      <c r="E35" s="2" t="n">
        <v>36</v>
      </c>
      <c r="F35" s="2" t="n">
        <v>774</v>
      </c>
      <c r="G35" s="2" t="inlineStr">
        <is>
          <t>Food 36</t>
        </is>
      </c>
      <c r="H35" s="2" t="inlineStr"/>
      <c r="I35" s="2" t="inlineStr">
        <is>
          <t>EVD-recuxxn3mlOO1aDUI</t>
        </is>
      </c>
    </row>
    <row r="36">
      <c r="A36" s="2" t="inlineStr">
        <is>
          <t>TRK-2026-03-10</t>
        </is>
      </c>
      <c r="B36" s="2" t="inlineStr">
        <is>
          <t>P12</t>
        </is>
      </c>
      <c r="C36" s="2" t="inlineStr">
        <is>
          <t>HW</t>
        </is>
      </c>
      <c r="D36" s="2" t="inlineStr"/>
      <c r="E36" s="2" t="n">
        <v>36</v>
      </c>
      <c r="F36" s="2" t="n">
        <v>910</v>
      </c>
      <c r="G36" s="2" t="inlineStr">
        <is>
          <t>Food 36</t>
        </is>
      </c>
      <c r="H36" s="2" t="inlineStr"/>
      <c r="I36" s="2" t="inlineStr">
        <is>
          <t>EVD-recuxxn3mlOO1aDUI</t>
        </is>
      </c>
    </row>
    <row r="37">
      <c r="A37" s="2" t="inlineStr">
        <is>
          <t>TRK-2026-03-10</t>
        </is>
      </c>
      <c r="B37" s="2" t="inlineStr">
        <is>
          <t>P13</t>
        </is>
      </c>
      <c r="C37" s="2" t="inlineStr">
        <is>
          <t>HW</t>
        </is>
      </c>
      <c r="D37" s="2" t="inlineStr"/>
      <c r="E37" s="2" t="n">
        <v>36</v>
      </c>
      <c r="F37" s="2" t="n">
        <v>485</v>
      </c>
      <c r="G37" s="2" t="inlineStr">
        <is>
          <t>Food 36</t>
        </is>
      </c>
      <c r="H37" s="2" t="inlineStr"/>
      <c r="I37" s="2" t="inlineStr">
        <is>
          <t>EVD-recuxxn3mlOO1aDUI</t>
        </is>
      </c>
    </row>
    <row r="38">
      <c r="A38" s="2" t="inlineStr">
        <is>
          <t>TRK-2026-03-10</t>
        </is>
      </c>
      <c r="B38" s="2" t="inlineStr">
        <is>
          <t>P14</t>
        </is>
      </c>
      <c r="C38" s="2" t="inlineStr">
        <is>
          <t>HW</t>
        </is>
      </c>
      <c r="D38" s="2" t="inlineStr"/>
      <c r="E38" s="2" t="n">
        <v>36</v>
      </c>
      <c r="F38" s="2" t="n">
        <v>757</v>
      </c>
      <c r="G38" s="2" t="inlineStr">
        <is>
          <t>Food 36</t>
        </is>
      </c>
      <c r="H38" s="2" t="inlineStr"/>
      <c r="I38" s="2" t="inlineStr">
        <is>
          <t>EVD-recuxxn3mlOO1aDUI</t>
        </is>
      </c>
    </row>
    <row r="39">
      <c r="A39" s="2" t="inlineStr">
        <is>
          <t>TRK-2026-03-10</t>
        </is>
      </c>
      <c r="B39" s="2" t="inlineStr">
        <is>
          <t>P17</t>
        </is>
      </c>
      <c r="C39" s="2" t="inlineStr">
        <is>
          <t>HW</t>
        </is>
      </c>
      <c r="D39" s="2" t="inlineStr"/>
      <c r="E39" s="2" t="n">
        <v>72</v>
      </c>
      <c r="F39" s="2" t="n">
        <v>560</v>
      </c>
      <c r="G39" s="2" t="inlineStr">
        <is>
          <t>Food 72</t>
        </is>
      </c>
      <c r="H39" s="2" t="inlineStr"/>
      <c r="I39" s="2" t="inlineStr">
        <is>
          <t>EVD-recuxxn3mlOO1aDUI</t>
        </is>
      </c>
    </row>
    <row r="40">
      <c r="A40" s="2" t="inlineStr">
        <is>
          <t>TRK-2026-03-10</t>
        </is>
      </c>
      <c r="B40" s="2" t="inlineStr">
        <is>
          <t>P18</t>
        </is>
      </c>
      <c r="C40" s="2" t="inlineStr">
        <is>
          <t>HW</t>
        </is>
      </c>
      <c r="D40" s="2" t="inlineStr"/>
      <c r="E40" s="2" t="n">
        <v>72</v>
      </c>
      <c r="F40" s="2" t="n">
        <v>560</v>
      </c>
      <c r="G40" s="2" t="inlineStr">
        <is>
          <t>Food 72</t>
        </is>
      </c>
      <c r="H40" s="2" t="inlineStr"/>
      <c r="I40" s="2" t="inlineStr">
        <is>
          <t>EVD-recuxxn3mlOO1aDUI</t>
        </is>
      </c>
    </row>
    <row r="41">
      <c r="A41" s="2" t="inlineStr">
        <is>
          <t>TRK-2026-03-10</t>
        </is>
      </c>
      <c r="B41" s="2" t="inlineStr">
        <is>
          <t>P20</t>
        </is>
      </c>
      <c r="C41" s="2" t="inlineStr">
        <is>
          <t>HW</t>
        </is>
      </c>
      <c r="D41" s="2" t="inlineStr"/>
      <c r="E41" s="2" t="n">
        <v>36</v>
      </c>
      <c r="F41" s="2" t="n">
        <v>575</v>
      </c>
      <c r="G41" s="2" t="inlineStr">
        <is>
          <t>Food 36</t>
        </is>
      </c>
      <c r="H41" s="2" t="inlineStr"/>
      <c r="I41" s="2" t="inlineStr">
        <is>
          <t>EVD-recuxxn3mlOO1aDUI</t>
        </is>
      </c>
    </row>
    <row r="42">
      <c r="A42" s="2" t="inlineStr">
        <is>
          <t>TRK-2026-03-10</t>
        </is>
      </c>
      <c r="B42" s="2" t="inlineStr">
        <is>
          <t>P21</t>
        </is>
      </c>
      <c r="C42" s="2" t="inlineStr">
        <is>
          <t>HW</t>
        </is>
      </c>
      <c r="D42" s="2" t="inlineStr"/>
      <c r="E42" s="2" t="n">
        <v>60</v>
      </c>
      <c r="F42" s="2" t="n">
        <v>575</v>
      </c>
      <c r="G42" s="2" t="inlineStr">
        <is>
          <t>Food 45 + Baby 14 (sheet) / 15 (WhatsApp #45)</t>
        </is>
      </c>
      <c r="H42" s="2" t="inlineStr">
        <is>
          <t>WhatsApp #45: Schoolfruit 45, 2 baby, 13 wipes</t>
        </is>
      </c>
      <c r="I42" s="2" t="inlineStr">
        <is>
          <t>EVD-recuxxn3mlOO1aDUI</t>
        </is>
      </c>
    </row>
    <row r="43">
      <c r="A43" s="2" t="inlineStr">
        <is>
          <t>TRK-2026-03-10</t>
        </is>
      </c>
      <c r="B43" s="2" t="inlineStr">
        <is>
          <t>P23</t>
        </is>
      </c>
      <c r="C43" s="2" t="inlineStr">
        <is>
          <t>HW</t>
        </is>
      </c>
      <c r="D43" s="2" t="inlineStr"/>
      <c r="E43" s="2" t="n">
        <v>36</v>
      </c>
      <c r="F43" s="2" t="n">
        <v>675</v>
      </c>
      <c r="G43" s="2" t="inlineStr">
        <is>
          <t>Food 36</t>
        </is>
      </c>
      <c r="H43" s="2" t="inlineStr"/>
      <c r="I43" s="2" t="inlineStr">
        <is>
          <t>EVD-recuxxn3mlOO1aDUI</t>
        </is>
      </c>
    </row>
    <row r="44">
      <c r="A44" s="2" t="inlineStr">
        <is>
          <t>TRK-2026-03-10</t>
        </is>
      </c>
      <c r="B44" s="2" t="inlineStr">
        <is>
          <t>P25</t>
        </is>
      </c>
      <c r="C44" s="2" t="inlineStr">
        <is>
          <t>HW</t>
        </is>
      </c>
      <c r="D44" s="2" t="inlineStr"/>
      <c r="E44" s="2" t="n">
        <v>204</v>
      </c>
      <c r="F44" s="2" t="n">
        <v>605</v>
      </c>
      <c r="G44" s="2" t="inlineStr">
        <is>
          <t>Food 192 + Hygiene 12</t>
        </is>
      </c>
      <c r="H44" s="2" t="inlineStr">
        <is>
          <t>Kees note: €19.80 bar boxes</t>
        </is>
      </c>
      <c r="I44" s="2" t="inlineStr">
        <is>
          <t>EVD-recuxxn3mlOO1aDUI</t>
        </is>
      </c>
    </row>
    <row r="45">
      <c r="A45" s="2" t="inlineStr">
        <is>
          <t>TRK-2026-03-10</t>
        </is>
      </c>
      <c r="B45" s="2" t="inlineStr">
        <is>
          <t>P26</t>
        </is>
      </c>
      <c r="C45" s="2" t="inlineStr">
        <is>
          <t>HW</t>
        </is>
      </c>
      <c r="D45" s="2" t="inlineStr"/>
      <c r="E45" s="2" t="n">
        <v>24</v>
      </c>
      <c r="F45" s="2" t="n">
        <v>315</v>
      </c>
      <c r="G45" s="2" t="inlineStr">
        <is>
          <t>Medical supplies 24</t>
        </is>
      </c>
      <c r="H45" s="2" t="inlineStr"/>
      <c r="I45" s="2" t="inlineStr">
        <is>
          <t>EVD-recuxxn3mlOO1aDUI</t>
        </is>
      </c>
    </row>
    <row r="46">
      <c r="A46" s="2" t="inlineStr">
        <is>
          <t>TRK-2026-03-10</t>
        </is>
      </c>
      <c r="B46" s="2" t="inlineStr">
        <is>
          <t>P27</t>
        </is>
      </c>
      <c r="C46" s="2" t="inlineStr">
        <is>
          <t>HW</t>
        </is>
      </c>
      <c r="D46" s="2" t="inlineStr"/>
      <c r="E46" s="2" t="n">
        <v>24</v>
      </c>
      <c r="F46" s="2" t="n">
        <v>275</v>
      </c>
      <c r="G46" s="2" t="inlineStr">
        <is>
          <t>Incontinence 24</t>
        </is>
      </c>
      <c r="H46" s="2">
        <f> Jan working-sheet pallet 22 (or P28)</f>
        <v/>
      </c>
      <c r="I46" s="2" t="inlineStr">
        <is>
          <t>EVD-recuxxn3mlOO1aDUI</t>
        </is>
      </c>
    </row>
    <row r="47">
      <c r="A47" s="2" t="inlineStr">
        <is>
          <t>TRK-2026-03-10</t>
        </is>
      </c>
      <c r="B47" s="2" t="inlineStr">
        <is>
          <t>P7</t>
        </is>
      </c>
      <c r="C47" s="2" t="inlineStr">
        <is>
          <t>HW</t>
        </is>
      </c>
      <c r="D47" s="2" t="inlineStr"/>
      <c r="E47" s="2" t="n">
        <v>36</v>
      </c>
      <c r="F47" s="2" t="n">
        <v>735</v>
      </c>
      <c r="G47" s="2" t="inlineStr">
        <is>
          <t>Food 36</t>
        </is>
      </c>
      <c r="H47" s="2" t="inlineStr">
        <is>
          <t>Kees workbook: H4U (unverified)</t>
        </is>
      </c>
      <c r="I47" s="2" t="inlineStr">
        <is>
          <t>EVD-recuxxn3mlOO1aDUI</t>
        </is>
      </c>
    </row>
    <row r="48">
      <c r="A48" s="2" t="inlineStr">
        <is>
          <t>TRK-2026-03-10</t>
        </is>
      </c>
      <c r="B48" s="2" t="inlineStr">
        <is>
          <t>P8</t>
        </is>
      </c>
      <c r="C48" s="2" t="inlineStr">
        <is>
          <t>HW</t>
        </is>
      </c>
      <c r="D48" s="2" t="inlineStr"/>
      <c r="E48" s="2" t="n">
        <v>36</v>
      </c>
      <c r="F48" s="2" t="n">
        <v>655</v>
      </c>
      <c r="G48" s="2" t="inlineStr">
        <is>
          <t>Food 36</t>
        </is>
      </c>
      <c r="H48" s="2" t="inlineStr">
        <is>
          <t>Kees workbook: H4U (unverified)</t>
        </is>
      </c>
      <c r="I48" s="2" t="inlineStr">
        <is>
          <t>EVD-recuxxn3mlOO1aDUI</t>
        </is>
      </c>
    </row>
    <row r="49">
      <c r="A49" s="2" t="inlineStr">
        <is>
          <t>TRK-2026-03-10</t>
        </is>
      </c>
      <c r="B49" s="2" t="inlineStr">
        <is>
          <t>P11</t>
        </is>
      </c>
      <c r="C49" s="2" t="inlineStr">
        <is>
          <t>HW</t>
        </is>
      </c>
      <c r="D49" s="2" t="inlineStr"/>
      <c r="E49" s="2" t="n">
        <v>36</v>
      </c>
      <c r="F49" s="2" t="n">
        <v>717</v>
      </c>
      <c r="G49" s="2" t="inlineStr">
        <is>
          <t>Food 36</t>
        </is>
      </c>
      <c r="H49" s="2" t="inlineStr">
        <is>
          <t>Kees workbook: H4U (unverified)</t>
        </is>
      </c>
      <c r="I49" s="2" t="inlineStr">
        <is>
          <t>EVD-recuxxn3mlOO1aDUI</t>
        </is>
      </c>
    </row>
    <row r="50">
      <c r="A50" s="2" t="inlineStr">
        <is>
          <t>TRK-2026-03-10</t>
        </is>
      </c>
      <c r="B50" s="2" t="inlineStr">
        <is>
          <t>P15</t>
        </is>
      </c>
      <c r="C50" s="2" t="inlineStr">
        <is>
          <t>HW</t>
        </is>
      </c>
      <c r="D50" s="2" t="inlineStr"/>
      <c r="E50" s="2" t="n">
        <v>36</v>
      </c>
      <c r="F50" s="2" t="n">
        <v>705</v>
      </c>
      <c r="G50" s="2" t="inlineStr">
        <is>
          <t>Food 34 + Hygiene 2</t>
        </is>
      </c>
      <c r="H50" s="2" t="inlineStr">
        <is>
          <t>WhatsApp #39 H4U: 18 animal, 2 hygiene, 16 hero</t>
        </is>
      </c>
      <c r="I50" s="2" t="inlineStr">
        <is>
          <t>EVD-recuxxn3mlOO1aDUI</t>
        </is>
      </c>
    </row>
    <row r="51">
      <c r="A51" s="2" t="inlineStr">
        <is>
          <t>TRK-2026-03-10</t>
        </is>
      </c>
      <c r="B51" s="2" t="inlineStr">
        <is>
          <t>P19</t>
        </is>
      </c>
      <c r="C51" s="2" t="inlineStr">
        <is>
          <t>HW</t>
        </is>
      </c>
      <c r="D51" s="2" t="inlineStr"/>
      <c r="E51" s="2" t="n">
        <v>36</v>
      </c>
      <c r="F51" s="2" t="n">
        <v>725</v>
      </c>
      <c r="G51" s="2" t="inlineStr">
        <is>
          <t>Food 36</t>
        </is>
      </c>
      <c r="H51" s="2" t="inlineStr">
        <is>
          <t>Kees workbook: H4U (unverified)</t>
        </is>
      </c>
      <c r="I51" s="2" t="inlineStr">
        <is>
          <t>EVD-recuxxn3mlOO1aDUI</t>
        </is>
      </c>
    </row>
    <row r="52">
      <c r="A52" s="2" t="inlineStr">
        <is>
          <t>TRK-2026-03-10</t>
        </is>
      </c>
      <c r="B52" s="2" t="inlineStr">
        <is>
          <t>P32</t>
        </is>
      </c>
      <c r="C52" s="2" t="inlineStr">
        <is>
          <t>HW</t>
        </is>
      </c>
      <c r="D52" s="2" t="inlineStr"/>
      <c r="E52" s="2" t="n">
        <v>36</v>
      </c>
      <c r="F52" s="2" t="n">
        <v>334</v>
      </c>
      <c r="G52" s="2" t="inlineStr">
        <is>
          <t>Baby 32 + Hygiene 4</t>
        </is>
      </c>
      <c r="H52" s="2" t="inlineStr">
        <is>
          <t>WhatsApp #40 H4U</t>
        </is>
      </c>
      <c r="I52" s="2" t="inlineStr">
        <is>
          <t>EVD-recuxxn3mlOO1aDUI</t>
        </is>
      </c>
    </row>
    <row r="53">
      <c r="A53" s="2" t="inlineStr">
        <is>
          <t>TRK-2026-03-10</t>
        </is>
      </c>
      <c r="B53" s="2" t="inlineStr">
        <is>
          <t>P33</t>
        </is>
      </c>
      <c r="C53" s="2" t="inlineStr">
        <is>
          <t>HW</t>
        </is>
      </c>
      <c r="D53" s="2" t="inlineStr"/>
      <c r="E53" s="2" t="n">
        <v>35</v>
      </c>
      <c r="F53" s="2" t="n">
        <v>837</v>
      </c>
      <c r="G53" s="2" t="inlineStr">
        <is>
          <t>Food 35</t>
        </is>
      </c>
      <c r="H53" s="2" t="inlineStr"/>
      <c r="I53" s="2" t="inlineStr">
        <is>
          <t>EVD-recuxxn3mlOO1aDUI</t>
        </is>
      </c>
    </row>
    <row r="54">
      <c r="A54" s="2" t="inlineStr">
        <is>
          <t>TRK-2026-05-06</t>
        </is>
      </c>
      <c r="B54" s="2" t="inlineStr">
        <is>
          <t>P1</t>
        </is>
      </c>
      <c r="C54" s="2" t="inlineStr">
        <is>
          <t>HW</t>
        </is>
      </c>
      <c r="D54" s="2" t="inlineStr">
        <is>
          <t>H4U Ludmila, Zhytomir</t>
        </is>
      </c>
      <c r="E54" s="2" t="n">
        <v>36</v>
      </c>
      <c r="F54" s="2" t="n">
        <v>754</v>
      </c>
      <c r="G54" s="2" t="inlineStr">
        <is>
          <t>Food 36</t>
        </is>
      </c>
      <c r="H54" s="2" t="inlineStr"/>
      <c r="I54" s="2" t="inlineStr">
        <is>
          <t>EVD-recDe227kjiqwpZc5</t>
        </is>
      </c>
    </row>
    <row r="55">
      <c r="A55" s="2" t="inlineStr">
        <is>
          <t>TRK-2026-05-06</t>
        </is>
      </c>
      <c r="B55" s="2" t="inlineStr">
        <is>
          <t>P2</t>
        </is>
      </c>
      <c r="C55" s="2" t="inlineStr">
        <is>
          <t>HW</t>
        </is>
      </c>
      <c r="D55" s="2" t="inlineStr">
        <is>
          <t>H4U Ludmila, Zhytomir</t>
        </is>
      </c>
      <c r="E55" s="2" t="n">
        <v>40</v>
      </c>
      <c r="F55" s="2" t="n">
        <v>605</v>
      </c>
      <c r="G55" s="2" t="inlineStr">
        <is>
          <t>Baby 40</t>
        </is>
      </c>
      <c r="H55" s="2" t="inlineStr"/>
      <c r="I55" s="2" t="inlineStr">
        <is>
          <t>EVD-recDe227kjiqwpZc5</t>
        </is>
      </c>
    </row>
    <row r="56">
      <c r="A56" s="2" t="inlineStr">
        <is>
          <t>TRK-2026-05-06</t>
        </is>
      </c>
      <c r="B56" s="2" t="inlineStr">
        <is>
          <t>P3</t>
        </is>
      </c>
      <c r="C56" s="2" t="inlineStr">
        <is>
          <t>HW</t>
        </is>
      </c>
      <c r="D56" s="2" t="inlineStr">
        <is>
          <t>H4U Ludmila, Zhytomir</t>
        </is>
      </c>
      <c r="E56" s="2" t="n">
        <v>36</v>
      </c>
      <c r="F56" s="2" t="n">
        <v>662</v>
      </c>
      <c r="G56" s="2" t="inlineStr">
        <is>
          <t>Food 36</t>
        </is>
      </c>
      <c r="H56" s="2" t="inlineStr"/>
      <c r="I56" s="2" t="inlineStr">
        <is>
          <t>EVD-recDe227kjiqwpZc5</t>
        </is>
      </c>
    </row>
    <row r="57">
      <c r="A57" s="2" t="inlineStr">
        <is>
          <t>TRK-2026-05-06</t>
        </is>
      </c>
      <c r="B57" s="2" t="inlineStr">
        <is>
          <t>P4</t>
        </is>
      </c>
      <c r="C57" s="2" t="inlineStr">
        <is>
          <t>HW</t>
        </is>
      </c>
      <c r="D57" s="2" t="inlineStr">
        <is>
          <t>H4U Ludmila, Zhytomir</t>
        </is>
      </c>
      <c r="E57" s="2" t="n">
        <v>40</v>
      </c>
      <c r="F57" s="2" t="n">
        <v>730</v>
      </c>
      <c r="G57" s="2" t="inlineStr">
        <is>
          <t>Food 40</t>
        </is>
      </c>
      <c r="H57" s="2" t="inlineStr"/>
      <c r="I57" s="2" t="inlineStr">
        <is>
          <t>EVD-recDe227kjiqwpZc5</t>
        </is>
      </c>
    </row>
    <row r="58">
      <c r="A58" s="2" t="inlineStr">
        <is>
          <t>TRK-2026-05-06</t>
        </is>
      </c>
      <c r="B58" s="2" t="inlineStr">
        <is>
          <t>P5</t>
        </is>
      </c>
      <c r="C58" s="2" t="inlineStr">
        <is>
          <t>HW</t>
        </is>
      </c>
      <c r="D58" s="2" t="inlineStr"/>
      <c r="E58" s="2" t="n">
        <v>36</v>
      </c>
      <c r="F58" s="2" t="n">
        <v>640</v>
      </c>
      <c r="G58" s="2" t="inlineStr">
        <is>
          <t>Food 36</t>
        </is>
      </c>
      <c r="H58" s="2" t="inlineStr"/>
      <c r="I58" s="2" t="inlineStr">
        <is>
          <t>EVD-recDe227kjiqwpZc5</t>
        </is>
      </c>
    </row>
    <row r="59">
      <c r="A59" s="2" t="inlineStr">
        <is>
          <t>TRK-2026-05-06</t>
        </is>
      </c>
      <c r="B59" s="2" t="inlineStr">
        <is>
          <t>P6</t>
        </is>
      </c>
      <c r="C59" s="2" t="inlineStr">
        <is>
          <t>HW</t>
        </is>
      </c>
      <c r="D59" s="2" t="inlineStr">
        <is>
          <t>DCA James, Kamyonka</t>
        </is>
      </c>
      <c r="E59" s="2" t="n">
        <v>36</v>
      </c>
      <c r="F59" s="2" t="n">
        <v>822</v>
      </c>
      <c r="G59" s="2" t="inlineStr">
        <is>
          <t>Food 36</t>
        </is>
      </c>
      <c r="H59" s="2" t="inlineStr"/>
      <c r="I59" s="2" t="inlineStr">
        <is>
          <t>EVD-recDe227kjiqwpZc5</t>
        </is>
      </c>
    </row>
    <row r="60">
      <c r="A60" s="2" t="inlineStr">
        <is>
          <t>TRK-2026-05-06</t>
        </is>
      </c>
      <c r="B60" s="2" t="inlineStr">
        <is>
          <t>P7</t>
        </is>
      </c>
      <c r="C60" s="2" t="inlineStr">
        <is>
          <t>HW</t>
        </is>
      </c>
      <c r="D60" s="2" t="inlineStr"/>
      <c r="E60" s="2" t="n">
        <v>36</v>
      </c>
      <c r="F60" s="2" t="n">
        <v>564</v>
      </c>
      <c r="G60" s="2" t="inlineStr">
        <is>
          <t>Food 36</t>
        </is>
      </c>
      <c r="H60" s="2" t="inlineStr"/>
      <c r="I60" s="2" t="inlineStr">
        <is>
          <t>EVD-recDe227kjiqwpZc5</t>
        </is>
      </c>
    </row>
    <row r="61">
      <c r="A61" s="2" t="inlineStr">
        <is>
          <t>TRK-2026-05-06</t>
        </is>
      </c>
      <c r="B61" s="2" t="inlineStr">
        <is>
          <t>P11</t>
        </is>
      </c>
      <c r="C61" s="2" t="inlineStr">
        <is>
          <t>HW</t>
        </is>
      </c>
      <c r="D61" s="2" t="inlineStr"/>
      <c r="E61" s="2" t="n">
        <v>20</v>
      </c>
      <c r="F61" s="2" t="n">
        <v>342</v>
      </c>
      <c r="G61" s="2" t="inlineStr">
        <is>
          <t>Baby 20</t>
        </is>
      </c>
      <c r="H61" s="2">
        <f> Jan working-sheet pallet 10</f>
        <v/>
      </c>
      <c r="I61" s="2" t="inlineStr">
        <is>
          <t>EVD-recDe227kjiqwpZc5</t>
        </is>
      </c>
    </row>
    <row r="62">
      <c r="A62" s="2" t="inlineStr">
        <is>
          <t>TRK-2026-05-06</t>
        </is>
      </c>
      <c r="B62" s="2" t="inlineStr">
        <is>
          <t>P12</t>
        </is>
      </c>
      <c r="C62" s="2" t="inlineStr">
        <is>
          <t>HW</t>
        </is>
      </c>
      <c r="D62" s="2" t="inlineStr"/>
      <c r="E62" s="2" t="n">
        <v>24</v>
      </c>
      <c r="F62" s="2" t="n">
        <v>248</v>
      </c>
      <c r="G62" s="2" t="inlineStr">
        <is>
          <t>Incontinence 24</t>
        </is>
      </c>
      <c r="H62" s="2" t="inlineStr"/>
      <c r="I62" s="2" t="inlineStr">
        <is>
          <t>EVD-recDe227kjiqwpZc5</t>
        </is>
      </c>
    </row>
    <row r="63">
      <c r="A63" s="2" t="inlineStr">
        <is>
          <t>TRK-2026-05-06</t>
        </is>
      </c>
      <c r="B63" s="2" t="inlineStr">
        <is>
          <t>P13</t>
        </is>
      </c>
      <c r="C63" s="2" t="inlineStr">
        <is>
          <t>HW</t>
        </is>
      </c>
      <c r="D63" s="2" t="inlineStr"/>
      <c r="E63" s="2" t="n">
        <v>24</v>
      </c>
      <c r="F63" s="2" t="n">
        <v>255</v>
      </c>
      <c r="G63" s="2" t="inlineStr">
        <is>
          <t>Incontinence 24</t>
        </is>
      </c>
      <c r="H63" s="2" t="inlineStr"/>
      <c r="I63" s="2" t="inlineStr">
        <is>
          <t>EVD-recDe227kjiqwpZc5</t>
        </is>
      </c>
    </row>
    <row r="64">
      <c r="A64" s="2" t="inlineStr">
        <is>
          <t>TRK-2026-05-06</t>
        </is>
      </c>
      <c r="B64" s="2" t="inlineStr">
        <is>
          <t>P14</t>
        </is>
      </c>
      <c r="C64" s="2" t="inlineStr">
        <is>
          <t>HW</t>
        </is>
      </c>
      <c r="D64" s="2" t="inlineStr"/>
      <c r="E64" s="2" t="n">
        <v>40</v>
      </c>
      <c r="F64" s="2" t="n">
        <v>255</v>
      </c>
      <c r="G64" s="2" t="inlineStr">
        <is>
          <t>Hygiene 40</t>
        </is>
      </c>
      <c r="H64" s="2" t="inlineStr"/>
      <c r="I64" s="2" t="inlineStr">
        <is>
          <t>EVD-recDe227kjiqwpZc5</t>
        </is>
      </c>
    </row>
    <row r="65">
      <c r="A65" s="2" t="inlineStr">
        <is>
          <t>TRK-2026-05-06</t>
        </is>
      </c>
      <c r="B65" s="2" t="inlineStr">
        <is>
          <t>P15</t>
        </is>
      </c>
      <c r="C65" s="2" t="inlineStr">
        <is>
          <t>HW</t>
        </is>
      </c>
      <c r="D65" s="2" t="inlineStr"/>
      <c r="E65" s="2" t="n">
        <v>36</v>
      </c>
      <c r="F65" s="2" t="n">
        <v>840</v>
      </c>
      <c r="G65" s="2" t="inlineStr">
        <is>
          <t>Hygiene 36</t>
        </is>
      </c>
      <c r="H65" s="2" t="inlineStr"/>
      <c r="I65" s="2" t="inlineStr">
        <is>
          <t>EVD-recDe227kjiqwpZc5</t>
        </is>
      </c>
    </row>
    <row r="66">
      <c r="A66" s="2" t="inlineStr">
        <is>
          <t>TRK-2026-05-06</t>
        </is>
      </c>
      <c r="B66" s="2" t="inlineStr">
        <is>
          <t>P17</t>
        </is>
      </c>
      <c r="C66" s="2" t="inlineStr">
        <is>
          <t>HW</t>
        </is>
      </c>
      <c r="D66" s="2" t="inlineStr">
        <is>
          <t>DCA James, Kramatorsk</t>
        </is>
      </c>
      <c r="E66" s="2" t="n">
        <v>71</v>
      </c>
      <c r="F66" s="2" t="n">
        <v>688</v>
      </c>
      <c r="G66" s="2" t="inlineStr">
        <is>
          <t>Hygiene 71</t>
        </is>
      </c>
      <c r="H66" s="2" t="inlineStr"/>
      <c r="I66" s="2" t="inlineStr">
        <is>
          <t>EVD-recDe227kjiqwpZc5</t>
        </is>
      </c>
    </row>
    <row r="67">
      <c r="A67" s="2" t="inlineStr">
        <is>
          <t>TRK-2026-05-06</t>
        </is>
      </c>
      <c r="B67" s="2" t="inlineStr">
        <is>
          <t>P18</t>
        </is>
      </c>
      <c r="C67" s="2" t="inlineStr">
        <is>
          <t>HW</t>
        </is>
      </c>
      <c r="D67" s="2" t="inlineStr"/>
      <c r="E67" s="2" t="n">
        <v>48</v>
      </c>
      <c r="F67" s="2" t="n">
        <v>385</v>
      </c>
      <c r="G67" s="2" t="inlineStr">
        <is>
          <t>Hygiene 48</t>
        </is>
      </c>
      <c r="H67" s="2" t="inlineStr"/>
      <c r="I67" s="2" t="inlineStr">
        <is>
          <t>EVD-recDe227kjiqwpZc5</t>
        </is>
      </c>
    </row>
    <row r="68">
      <c r="A68" s="2" t="inlineStr">
        <is>
          <t>TRK-2026-05-06</t>
        </is>
      </c>
      <c r="B68" s="2" t="inlineStr">
        <is>
          <t>P19</t>
        </is>
      </c>
      <c r="C68" s="2" t="inlineStr">
        <is>
          <t>HW</t>
        </is>
      </c>
      <c r="D68" s="2" t="inlineStr"/>
      <c r="E68" s="2" t="n">
        <v>32</v>
      </c>
      <c r="F68" s="2" t="n">
        <v>360</v>
      </c>
      <c r="G68" s="2" t="inlineStr">
        <is>
          <t>Kitchen 32</t>
        </is>
      </c>
      <c r="H68" s="2" t="inlineStr"/>
      <c r="I68" s="2" t="inlineStr">
        <is>
          <t>EVD-recDe227kjiqwpZc5</t>
        </is>
      </c>
    </row>
    <row r="69">
      <c r="A69" s="2" t="inlineStr">
        <is>
          <t>TRK-2026-05-06</t>
        </is>
      </c>
      <c r="B69" s="2" t="inlineStr">
        <is>
          <t>P20</t>
        </is>
      </c>
      <c r="C69" s="2" t="inlineStr">
        <is>
          <t>HW</t>
        </is>
      </c>
      <c r="D69" s="2" t="inlineStr"/>
      <c r="E69" s="2" t="n">
        <v>36</v>
      </c>
      <c r="F69" s="2" t="n">
        <v>250</v>
      </c>
      <c r="G69" s="2" t="inlineStr">
        <is>
          <t>Bedding 36</t>
        </is>
      </c>
      <c r="H69" s="2" t="inlineStr"/>
      <c r="I69" s="2" t="inlineStr">
        <is>
          <t>EVD-recDe227kjiqwpZc5</t>
        </is>
      </c>
    </row>
    <row r="70">
      <c r="A70" s="2" t="inlineStr">
        <is>
          <t>TRK-2026-05-06</t>
        </is>
      </c>
      <c r="B70" s="2" t="inlineStr">
        <is>
          <t>Ploose</t>
        </is>
      </c>
      <c r="C70" s="2" t="inlineStr">
        <is>
          <t>HW</t>
        </is>
      </c>
      <c r="D70" s="2" t="inlineStr"/>
      <c r="E70" s="2" t="n">
        <v>50</v>
      </c>
      <c r="F70" s="2" t="inlineStr">
        <is>
          <t>6 (sheet) / 300 (implied by total)</t>
        </is>
      </c>
      <c r="G70" s="2" t="inlineStr">
        <is>
          <t>Bedding 50 items</t>
        </is>
      </c>
      <c r="H70" s="2" t="inlineStr">
        <is>
          <t>Sheet says 6; category total needs 300</t>
        </is>
      </c>
      <c r="I70" s="2" t="inlineStr">
        <is>
          <t>EVD-recDe227kjiqwpZc5</t>
        </is>
      </c>
    </row>
    <row r="71">
      <c r="A71" s="2" t="inlineStr">
        <is>
          <t>TRK-2026-05-06</t>
        </is>
      </c>
      <c r="B71" s="2" t="inlineStr">
        <is>
          <t>P8</t>
        </is>
      </c>
      <c r="C71" s="2" t="inlineStr">
        <is>
          <t>NR</t>
        </is>
      </c>
      <c r="D71" s="2" t="inlineStr"/>
      <c r="E71" s="2" t="n">
        <v>24</v>
      </c>
      <c r="F71" s="2" t="n">
        <v>298</v>
      </c>
      <c r="G71" s="2" t="inlineStr">
        <is>
          <t>Hospital supplies 24</t>
        </is>
      </c>
      <c r="H71" s="2" t="inlineStr"/>
      <c r="I71" s="2" t="inlineStr">
        <is>
          <t>EVD-recDe227kjiqwpZc5</t>
        </is>
      </c>
    </row>
    <row r="72">
      <c r="A72" s="2" t="inlineStr">
        <is>
          <t>TRK-2026-05-06</t>
        </is>
      </c>
      <c r="B72" s="2" t="inlineStr">
        <is>
          <t>P9</t>
        </is>
      </c>
      <c r="C72" s="2" t="inlineStr">
        <is>
          <t>NR</t>
        </is>
      </c>
      <c r="D72" s="2" t="inlineStr"/>
      <c r="E72" s="2" t="n">
        <v>40</v>
      </c>
      <c r="F72" s="2" t="n">
        <v>275</v>
      </c>
      <c r="G72" s="2" t="inlineStr">
        <is>
          <t>Hospital supplies 40</t>
        </is>
      </c>
      <c r="H72" s="2" t="inlineStr"/>
      <c r="I72" s="2" t="inlineStr">
        <is>
          <t>EVD-recDe227kjiqwpZc5</t>
        </is>
      </c>
    </row>
    <row r="73">
      <c r="A73" s="2" t="inlineStr">
        <is>
          <t>TRK-2026-05-06</t>
        </is>
      </c>
      <c r="B73" s="2" t="inlineStr">
        <is>
          <t>P10</t>
        </is>
      </c>
      <c r="C73" s="2" t="inlineStr">
        <is>
          <t>NR</t>
        </is>
      </c>
      <c r="D73" s="2" t="inlineStr"/>
      <c r="E73" s="2" t="n">
        <v>24</v>
      </c>
      <c r="F73" s="2" t="n">
        <v>293</v>
      </c>
      <c r="G73" s="2" t="inlineStr">
        <is>
          <t>Hospital supplies 24</t>
        </is>
      </c>
      <c r="H73" s="2" t="inlineStr"/>
      <c r="I73" s="2" t="inlineStr">
        <is>
          <t>EVD-recDe227kjiqwpZc5</t>
        </is>
      </c>
    </row>
    <row r="74">
      <c r="A74" s="2" t="inlineStr">
        <is>
          <t>TRK-2026-05-06</t>
        </is>
      </c>
      <c r="B74" s="2" t="inlineStr">
        <is>
          <t>P21</t>
        </is>
      </c>
      <c r="C74" s="2" t="inlineStr">
        <is>
          <t>NR</t>
        </is>
      </c>
      <c r="D74" s="2" t="inlineStr"/>
      <c r="E74" s="2" t="n">
        <v>69</v>
      </c>
      <c r="F74" s="2" t="n">
        <v>572</v>
      </c>
      <c r="G74" s="2" t="inlineStr">
        <is>
          <t>Hygiene 69</t>
        </is>
      </c>
      <c r="H74" s="2" t="inlineStr"/>
      <c r="I74" s="2" t="inlineStr">
        <is>
          <t>EVD-recDe227kjiqwpZc5</t>
        </is>
      </c>
    </row>
    <row r="75">
      <c r="A75" s="2" t="inlineStr">
        <is>
          <t>TRK-2026-05-06</t>
        </is>
      </c>
      <c r="B75" s="2" t="inlineStr">
        <is>
          <t>Ploose</t>
        </is>
      </c>
      <c r="C75" s="2" t="inlineStr">
        <is>
          <t>NR</t>
        </is>
      </c>
      <c r="D75" s="2" t="inlineStr"/>
      <c r="E75" s="2" t="n">
        <v>8</v>
      </c>
      <c r="F75" s="2" t="n">
        <v>72</v>
      </c>
      <c r="G75" s="2" t="inlineStr">
        <is>
          <t>Medical equipment 8 items</t>
        </is>
      </c>
      <c r="H75" s="2" t="inlineStr">
        <is>
          <t>Loose line says 9 kg; summary 72 kg</t>
        </is>
      </c>
      <c r="I75" s="2" t="inlineStr">
        <is>
          <t>EVD-recDe227kjiqwpZc5</t>
        </is>
      </c>
    </row>
    <row r="76">
      <c r="A76" s="2" t="inlineStr">
        <is>
          <t>SHI-0002</t>
        </is>
      </c>
      <c r="B76" s="2" t="inlineStr">
        <is>
          <t>SU-0001</t>
        </is>
      </c>
      <c r="C76" s="2" t="inlineStr">
        <is>
          <t>HW</t>
        </is>
      </c>
      <c r="D76" s="2" t="inlineStr"/>
      <c r="E76" s="2" t="n">
        <v>40</v>
      </c>
      <c r="F76" s="2" t="n">
        <v>673</v>
      </c>
      <c r="G76" s="2" t="inlineStr">
        <is>
          <t>Hero, Animal food, Baby</t>
        </is>
      </c>
      <c r="H76" s="2" t="inlineStr"/>
      <c r="I76" s="2" t="inlineStr">
        <is>
          <t>EVD-recjovJhHNHrkGZb3</t>
        </is>
      </c>
    </row>
    <row r="77">
      <c r="A77" s="2" t="inlineStr">
        <is>
          <t>SHI-0002</t>
        </is>
      </c>
      <c r="B77" s="2" t="inlineStr">
        <is>
          <t>SU-0002</t>
        </is>
      </c>
      <c r="C77" s="2" t="inlineStr">
        <is>
          <t>HW</t>
        </is>
      </c>
      <c r="D77" s="2" t="inlineStr"/>
      <c r="E77" s="2" t="n">
        <v>36</v>
      </c>
      <c r="F77" s="2" t="n">
        <v>402.5</v>
      </c>
      <c r="G77" s="2" t="inlineStr">
        <is>
          <t>Hero</t>
        </is>
      </c>
      <c r="H77" s="2" t="inlineStr"/>
      <c r="I77" s="2" t="inlineStr">
        <is>
          <t>EVD-recjovJhHNHrkGZb3</t>
        </is>
      </c>
    </row>
    <row r="78">
      <c r="A78" s="2" t="inlineStr">
        <is>
          <t>SHI-0002</t>
        </is>
      </c>
      <c r="B78" s="2" t="inlineStr">
        <is>
          <t>SU-0003</t>
        </is>
      </c>
      <c r="C78" s="2" t="inlineStr">
        <is>
          <t>HW</t>
        </is>
      </c>
      <c r="D78" s="2" t="inlineStr"/>
      <c r="E78" s="2" t="n">
        <v>40</v>
      </c>
      <c r="F78" s="2" t="n">
        <v>436</v>
      </c>
      <c r="G78" s="2" t="inlineStr">
        <is>
          <t>Baby</t>
        </is>
      </c>
      <c r="H78" s="2" t="inlineStr"/>
      <c r="I78" s="2" t="inlineStr">
        <is>
          <t>EVD-recjovJhHNHrkGZb3</t>
        </is>
      </c>
    </row>
    <row r="79">
      <c r="A79" s="2" t="inlineStr">
        <is>
          <t>SHI-0002</t>
        </is>
      </c>
      <c r="B79" s="2" t="inlineStr">
        <is>
          <t>SU-0004</t>
        </is>
      </c>
      <c r="C79" s="2" t="inlineStr">
        <is>
          <t>HW</t>
        </is>
      </c>
      <c r="D79" s="2" t="inlineStr"/>
      <c r="E79" s="2" t="n">
        <v>40</v>
      </c>
      <c r="F79" s="2" t="n">
        <v>730</v>
      </c>
      <c r="G79" s="2" t="inlineStr">
        <is>
          <t>Food</t>
        </is>
      </c>
      <c r="H79" s="2" t="inlineStr"/>
      <c r="I79" s="2" t="inlineStr">
        <is>
          <t>EVD-recjovJhHNHrkGZb3</t>
        </is>
      </c>
    </row>
    <row r="80">
      <c r="A80" s="2" t="inlineStr">
        <is>
          <t>SHI-0002</t>
        </is>
      </c>
      <c r="B80" s="2" t="inlineStr">
        <is>
          <t>SU-0005</t>
        </is>
      </c>
      <c r="C80" s="2" t="inlineStr">
        <is>
          <t>HW</t>
        </is>
      </c>
      <c r="D80" s="2" t="inlineStr"/>
      <c r="E80" s="2" t="n">
        <v>40</v>
      </c>
      <c r="F80" s="2" t="n">
        <v>783</v>
      </c>
      <c r="G80" s="2" t="inlineStr">
        <is>
          <t>Hero, Food</t>
        </is>
      </c>
      <c r="H80" s="2" t="inlineStr"/>
      <c r="I80" s="2" t="inlineStr">
        <is>
          <t>EVD-recjovJhHNHrkGZb3</t>
        </is>
      </c>
    </row>
    <row r="81">
      <c r="A81" s="2" t="inlineStr">
        <is>
          <t>SHI-0002</t>
        </is>
      </c>
      <c r="B81" s="2" t="inlineStr">
        <is>
          <t>SU-0006</t>
        </is>
      </c>
      <c r="C81" s="2" t="inlineStr">
        <is>
          <t>HW</t>
        </is>
      </c>
      <c r="D81" s="2" t="inlineStr"/>
      <c r="E81" s="2" t="n">
        <v>40</v>
      </c>
      <c r="F81" s="2" t="n">
        <v>721</v>
      </c>
      <c r="G81" s="2" t="inlineStr">
        <is>
          <t>Animal food, Hero, Baby</t>
        </is>
      </c>
      <c r="H81" s="2" t="inlineStr"/>
      <c r="I81" s="2" t="inlineStr">
        <is>
          <t>EVD-recjovJhHNHrkGZb3</t>
        </is>
      </c>
    </row>
    <row r="82">
      <c r="A82" s="2" t="inlineStr">
        <is>
          <t>SHI-0002</t>
        </is>
      </c>
      <c r="B82" s="2" t="inlineStr">
        <is>
          <t>SU-007</t>
        </is>
      </c>
      <c r="C82" s="2" t="inlineStr">
        <is>
          <t>Salim</t>
        </is>
      </c>
      <c r="D82" s="2" t="inlineStr"/>
      <c r="E82" s="2" t="n">
        <v>36</v>
      </c>
      <c r="F82" s="2" t="n">
        <v>791</v>
      </c>
      <c r="G82" s="2" t="inlineStr">
        <is>
          <t>Food</t>
        </is>
      </c>
      <c r="H82" s="2" t="inlineStr"/>
      <c r="I82" s="2" t="inlineStr">
        <is>
          <t>EVD-recjovJhHNHrkGZb3</t>
        </is>
      </c>
    </row>
    <row r="83">
      <c r="A83" s="2" t="inlineStr">
        <is>
          <t>SHI-0002</t>
        </is>
      </c>
      <c r="B83" s="2" t="inlineStr">
        <is>
          <t>SU-0008</t>
        </is>
      </c>
      <c r="C83" s="2" t="inlineStr">
        <is>
          <t>Salim</t>
        </is>
      </c>
      <c r="D83" s="2" t="inlineStr"/>
      <c r="E83" s="2" t="n">
        <v>40</v>
      </c>
      <c r="F83" s="2" t="n">
        <v>757</v>
      </c>
      <c r="G83" s="2" t="inlineStr">
        <is>
          <t>Hygiene</t>
        </is>
      </c>
      <c r="H83" s="2" t="inlineStr"/>
      <c r="I83" s="2" t="inlineStr">
        <is>
          <t>EVD-recjovJhHNHrkGZb3</t>
        </is>
      </c>
    </row>
    <row r="84">
      <c r="A84" s="2" t="inlineStr">
        <is>
          <t>SHI-0002</t>
        </is>
      </c>
      <c r="B84" s="2" t="inlineStr">
        <is>
          <t>SU-009</t>
        </is>
      </c>
      <c r="C84" s="2" t="inlineStr">
        <is>
          <t>Salim</t>
        </is>
      </c>
      <c r="D84" s="2" t="inlineStr"/>
      <c r="E84" s="2" t="n">
        <v>36</v>
      </c>
      <c r="F84" s="2" t="n">
        <v>720</v>
      </c>
      <c r="G84" s="2" t="inlineStr">
        <is>
          <t>Food</t>
        </is>
      </c>
      <c r="H84" s="2" t="inlineStr"/>
      <c r="I84" s="2" t="inlineStr">
        <is>
          <t>EVD-recjovJhHNHrkGZb3</t>
        </is>
      </c>
    </row>
    <row r="85">
      <c r="A85" s="2" t="inlineStr">
        <is>
          <t>SHI-0002</t>
        </is>
      </c>
      <c r="B85" s="2" t="inlineStr">
        <is>
          <t>SU-010</t>
        </is>
      </c>
      <c r="C85" s="2" t="inlineStr">
        <is>
          <t>Salim</t>
        </is>
      </c>
      <c r="D85" s="2" t="inlineStr"/>
      <c r="E85" s="2" t="n">
        <v>36</v>
      </c>
      <c r="F85" s="2" t="n">
        <v>590</v>
      </c>
      <c r="G85" s="2" t="inlineStr">
        <is>
          <t>Food</t>
        </is>
      </c>
      <c r="H85" s="2" t="inlineStr"/>
      <c r="I85" s="2" t="inlineStr">
        <is>
          <t>EVD-recjovJhHNHrkGZb3</t>
        </is>
      </c>
    </row>
    <row r="86">
      <c r="A86" s="2" t="inlineStr">
        <is>
          <t>SHI-0002</t>
        </is>
      </c>
      <c r="B86" s="2" t="inlineStr">
        <is>
          <t>SU-0012 (share)</t>
        </is>
      </c>
      <c r="C86" s="2" t="inlineStr">
        <is>
          <t>Salim</t>
        </is>
      </c>
      <c r="D86" s="2" t="inlineStr"/>
      <c r="E86" s="2" t="n">
        <v>36</v>
      </c>
      <c r="F86" s="2" t="n">
        <v>634</v>
      </c>
      <c r="G86" s="2" t="inlineStr">
        <is>
          <t>Food</t>
        </is>
      </c>
      <c r="H86" s="2" t="inlineStr"/>
      <c r="I86" s="2" t="inlineStr">
        <is>
          <t>EVD-recjovJhHNHrkGZb3</t>
        </is>
      </c>
    </row>
    <row r="87">
      <c r="A87" s="2" t="inlineStr">
        <is>
          <t>SHI-0002</t>
        </is>
      </c>
      <c r="B87" s="2" t="inlineStr">
        <is>
          <t>SU-0011 (share)</t>
        </is>
      </c>
      <c r="C87" s="2" t="inlineStr">
        <is>
          <t>Salim</t>
        </is>
      </c>
      <c r="D87" s="2" t="inlineStr"/>
      <c r="E87" s="2" t="n">
        <v>12</v>
      </c>
      <c r="F87" s="2" t="n">
        <v>140</v>
      </c>
      <c r="G87" s="2" t="inlineStr">
        <is>
          <t>Diapers</t>
        </is>
      </c>
      <c r="H87" s="2" t="inlineStr"/>
      <c r="I87" s="2" t="inlineStr">
        <is>
          <t>EVD-recjovJhHNHrkGZb3</t>
        </is>
      </c>
    </row>
    <row r="88">
      <c r="A88" s="2" t="inlineStr">
        <is>
          <t>SHI-0002</t>
        </is>
      </c>
      <c r="B88" s="2" t="inlineStr">
        <is>
          <t>SU-0011 (share)</t>
        </is>
      </c>
      <c r="C88" s="2" t="inlineStr">
        <is>
          <t>Lifeline</t>
        </is>
      </c>
      <c r="D88" s="2" t="inlineStr"/>
      <c r="E88" s="2" t="n">
        <v>1</v>
      </c>
      <c r="F88" s="2" t="n">
        <v>148</v>
      </c>
      <c r="G88" s="2" t="inlineStr">
        <is>
          <t>Monitors ('TVs' per James relay — unresolved)</t>
        </is>
      </c>
      <c r="H88" s="2" t="inlineStr"/>
      <c r="I88" s="2" t="inlineStr">
        <is>
          <t>EVD-recjovJhHNHrkGZb3</t>
        </is>
      </c>
    </row>
    <row r="89">
      <c r="A89" s="2" t="inlineStr">
        <is>
          <t>SHI-0002</t>
        </is>
      </c>
      <c r="B89" s="2" t="inlineStr">
        <is>
          <t>SU-0012 (share)</t>
        </is>
      </c>
      <c r="C89" s="2" t="inlineStr">
        <is>
          <t>Lifeline</t>
        </is>
      </c>
      <c r="D89" s="2" t="inlineStr"/>
      <c r="E89" s="2" t="n">
        <v>4</v>
      </c>
      <c r="F89" s="2" t="n">
        <v>45</v>
      </c>
      <c r="G89" s="2" t="inlineStr">
        <is>
          <t>Sweets</t>
        </is>
      </c>
      <c r="H89" s="2" t="inlineStr"/>
      <c r="I89" s="2" t="inlineStr">
        <is>
          <t>EVD-recjovJhHNHrkGZb3</t>
        </is>
      </c>
    </row>
    <row r="90">
      <c r="A90" s="2" t="inlineStr">
        <is>
          <t>SHI-0001</t>
        </is>
      </c>
      <c r="B90" s="2" t="inlineStr">
        <is>
          <t>SU-005</t>
        </is>
      </c>
      <c r="C90" s="2" t="inlineStr">
        <is>
          <t>HW</t>
        </is>
      </c>
      <c r="D90" s="2" t="inlineStr"/>
      <c r="E90" s="2" t="n">
        <v>97</v>
      </c>
      <c r="F90" s="2" t="n">
        <v>1050</v>
      </c>
      <c r="G90" s="2" t="inlineStr">
        <is>
          <t>Hygiene &amp; Care (body care 30, wash/soap 67)</t>
        </is>
      </c>
      <c r="H90" s="2" t="inlineStr"/>
      <c r="I90" s="2" t="inlineStr">
        <is>
          <t>EVD-rec3AuCzNvlH0aA5H</t>
        </is>
      </c>
    </row>
    <row r="91">
      <c r="A91" s="2" t="inlineStr">
        <is>
          <t>SHI-0001</t>
        </is>
      </c>
      <c r="B91" s="2" t="inlineStr">
        <is>
          <t>SU-006</t>
        </is>
      </c>
      <c r="C91" s="2" t="inlineStr">
        <is>
          <t>HW</t>
        </is>
      </c>
      <c r="D91" s="2" t="inlineStr"/>
      <c r="E91" s="2" t="n">
        <v>125</v>
      </c>
      <c r="F91" s="2" t="n">
        <v>892</v>
      </c>
      <c r="G91" s="2" t="inlineStr">
        <is>
          <t>Hygiene &amp; Care (mixed)</t>
        </is>
      </c>
      <c r="H91" s="2" t="inlineStr"/>
      <c r="I91" s="2" t="inlineStr">
        <is>
          <t>EVD-rec3AuCzNvlH0aA5H</t>
        </is>
      </c>
    </row>
    <row r="92">
      <c r="A92" s="2" t="inlineStr">
        <is>
          <t>SHI-0001</t>
        </is>
      </c>
      <c r="B92" s="2" t="inlineStr">
        <is>
          <t>SU-008</t>
        </is>
      </c>
      <c r="C92" s="2" t="inlineStr">
        <is>
          <t>HW</t>
        </is>
      </c>
      <c r="D92" s="2" t="inlineStr"/>
      <c r="E92" s="2" t="n">
        <v>38</v>
      </c>
      <c r="F92" s="2" t="n">
        <v>380</v>
      </c>
      <c r="G92" s="2" t="inlineStr">
        <is>
          <t>Household (kitchen 13), toys 22, textiles 3</t>
        </is>
      </c>
      <c r="H92" s="2" t="inlineStr"/>
      <c r="I92" s="2" t="inlineStr">
        <is>
          <t>EVD-rec3AuCzNvlH0aA5H</t>
        </is>
      </c>
    </row>
    <row r="93">
      <c r="A93" s="2" t="inlineStr">
        <is>
          <t>SHI-0001</t>
        </is>
      </c>
      <c r="B93" s="2" t="inlineStr">
        <is>
          <t>SU-011</t>
        </is>
      </c>
      <c r="C93" s="2" t="inlineStr">
        <is>
          <t>HW</t>
        </is>
      </c>
      <c r="D93" s="2" t="inlineStr"/>
      <c r="E93" s="2" t="n">
        <v>36</v>
      </c>
      <c r="F93" s="2" t="n">
        <v>270</v>
      </c>
      <c r="G93" s="2" t="inlineStr">
        <is>
          <t>Toys &amp; games</t>
        </is>
      </c>
      <c r="H93" s="2" t="inlineStr"/>
      <c r="I93" s="2" t="inlineStr">
        <is>
          <t>EVD-rec3AuCzNvlH0aA5H</t>
        </is>
      </c>
    </row>
    <row r="94">
      <c r="A94" s="2" t="inlineStr">
        <is>
          <t>SHI-0001</t>
        </is>
      </c>
      <c r="B94" s="2" t="inlineStr">
        <is>
          <t>SU-012</t>
        </is>
      </c>
      <c r="C94" s="2" t="inlineStr">
        <is>
          <t>HW</t>
        </is>
      </c>
      <c r="D94" s="2" t="inlineStr"/>
      <c r="E94" s="2" t="n">
        <v>24</v>
      </c>
      <c r="F94" s="2" t="n">
        <v>468</v>
      </c>
      <c r="G94" s="2" t="inlineStr">
        <is>
          <t>Clothing (mixed/textiles)</t>
        </is>
      </c>
      <c r="H94" s="2" t="inlineStr"/>
      <c r="I94" s="2" t="inlineStr">
        <is>
          <t>EVD-rec3AuCzNvlH0aA5H</t>
        </is>
      </c>
    </row>
    <row r="95">
      <c r="A95" s="2" t="inlineStr">
        <is>
          <t>SHI-0001</t>
        </is>
      </c>
      <c r="B95" s="2" t="inlineStr">
        <is>
          <t>SU-014</t>
        </is>
      </c>
      <c r="C95" s="2" t="inlineStr">
        <is>
          <t>HW</t>
        </is>
      </c>
      <c r="D95" s="2" t="inlineStr"/>
      <c r="E95" s="2" t="n">
        <v>24</v>
      </c>
      <c r="F95" s="2" t="n">
        <v>251</v>
      </c>
      <c r="G95" s="2" t="inlineStr">
        <is>
          <t>Incontinence care</t>
        </is>
      </c>
      <c r="H95" s="2" t="inlineStr"/>
      <c r="I95" s="2" t="inlineStr">
        <is>
          <t>EVD-rec3AuCzNvlH0aA5H</t>
        </is>
      </c>
    </row>
    <row r="96">
      <c r="A96" s="2" t="inlineStr">
        <is>
          <t>SHI-0001</t>
        </is>
      </c>
      <c r="B96" s="2" t="inlineStr">
        <is>
          <t>SU-015</t>
        </is>
      </c>
      <c r="C96" s="2" t="inlineStr">
        <is>
          <t>HW</t>
        </is>
      </c>
      <c r="D96" s="2" t="inlineStr"/>
      <c r="E96" s="2" t="n">
        <v>24</v>
      </c>
      <c r="F96" s="2" t="n">
        <v>300</v>
      </c>
      <c r="G96" s="2" t="inlineStr">
        <is>
          <t>Diapers 18, period care 6</t>
        </is>
      </c>
      <c r="H96" s="2" t="inlineStr"/>
      <c r="I96" s="2" t="inlineStr">
        <is>
          <t>EVD-rec3AuCzNvlH0aA5H</t>
        </is>
      </c>
    </row>
    <row r="97">
      <c r="A97" s="2" t="inlineStr">
        <is>
          <t>SHI-0001</t>
        </is>
      </c>
      <c r="B97" s="2" t="inlineStr">
        <is>
          <t>SU-016</t>
        </is>
      </c>
      <c r="C97" s="2" t="inlineStr">
        <is>
          <t>HW</t>
        </is>
      </c>
      <c r="D97" s="2" t="inlineStr"/>
      <c r="E97" s="2" t="n">
        <v>36</v>
      </c>
      <c r="F97" s="2" t="n">
        <v>390</v>
      </c>
      <c r="G97" s="2" t="inlineStr">
        <is>
          <t>Kitchen</t>
        </is>
      </c>
      <c r="H97" s="2" t="inlineStr"/>
      <c r="I97" s="2" t="inlineStr">
        <is>
          <t>EVD-rec3AuCzNvlH0aA5H</t>
        </is>
      </c>
    </row>
    <row r="98">
      <c r="A98" s="2" t="inlineStr">
        <is>
          <t>SHI-0001</t>
        </is>
      </c>
      <c r="B98" s="2" t="inlineStr">
        <is>
          <t>SU-017</t>
        </is>
      </c>
      <c r="C98" s="2" t="inlineStr">
        <is>
          <t>HW</t>
        </is>
      </c>
      <c r="D98" s="2" t="inlineStr"/>
      <c r="E98" s="2" t="n">
        <v>24</v>
      </c>
      <c r="F98" s="2" t="n">
        <v>355</v>
      </c>
      <c r="G98" s="2" t="inlineStr">
        <is>
          <t>Summer clothing</t>
        </is>
      </c>
      <c r="H98" s="2" t="inlineStr"/>
      <c r="I98" s="2" t="inlineStr">
        <is>
          <t>EVD-rec3AuCzNvlH0aA5H</t>
        </is>
      </c>
    </row>
    <row r="99">
      <c r="A99" s="2" t="inlineStr">
        <is>
          <t>SHI-0001</t>
        </is>
      </c>
      <c r="B99" s="2" t="inlineStr">
        <is>
          <t>SU-020</t>
        </is>
      </c>
      <c r="C99" s="2" t="inlineStr">
        <is>
          <t>HW</t>
        </is>
      </c>
      <c r="D99" s="2" t="inlineStr"/>
      <c r="E99" s="2" t="n">
        <v>68</v>
      </c>
      <c r="F99" s="2" t="n">
        <v>660</v>
      </c>
      <c r="G99" s="2" t="inlineStr">
        <is>
          <t>Hygiene &amp; Care (unspecified)</t>
        </is>
      </c>
      <c r="H99" s="2" t="inlineStr"/>
      <c r="I99" s="2" t="inlineStr">
        <is>
          <t>EVD-rec3AuCzNvlH0aA5H</t>
        </is>
      </c>
    </row>
    <row r="100">
      <c r="A100" s="2" t="inlineStr">
        <is>
          <t>SHI-0001</t>
        </is>
      </c>
      <c r="B100" s="2" t="inlineStr">
        <is>
          <t>SU-021</t>
        </is>
      </c>
      <c r="C100" s="2" t="inlineStr">
        <is>
          <t>HW</t>
        </is>
      </c>
      <c r="D100" s="2" t="inlineStr"/>
      <c r="E100" s="2" t="n">
        <v>24</v>
      </c>
      <c r="F100" s="2" t="n">
        <v>258</v>
      </c>
      <c r="G100" s="2" t="inlineStr">
        <is>
          <t>Hygiene &amp; Care (unspecified)</t>
        </is>
      </c>
      <c r="H100" s="2" t="inlineStr"/>
      <c r="I100" s="2" t="inlineStr">
        <is>
          <t>EVD-rec3AuCzNvlH0aA5H</t>
        </is>
      </c>
    </row>
    <row r="101">
      <c r="A101" s="2" t="inlineStr">
        <is>
          <t>SHI-0001</t>
        </is>
      </c>
      <c r="B101" s="2" t="inlineStr">
        <is>
          <t>SU-022</t>
        </is>
      </c>
      <c r="C101" s="2" t="inlineStr">
        <is>
          <t>HW</t>
        </is>
      </c>
      <c r="D101" s="2" t="inlineStr"/>
      <c r="E101" s="2" t="n">
        <v>20</v>
      </c>
      <c r="F101" s="2" t="n">
        <v>312</v>
      </c>
      <c r="G101" s="2" t="inlineStr">
        <is>
          <t>Clothing (unspecified)</t>
        </is>
      </c>
      <c r="H101" s="2" t="inlineStr"/>
      <c r="I101" s="2" t="inlineStr">
        <is>
          <t>EVD-rec3AuCzNvlH0aA5H</t>
        </is>
      </c>
    </row>
    <row r="102">
      <c r="A102" s="2" t="inlineStr">
        <is>
          <t>SHI-0001</t>
        </is>
      </c>
      <c r="B102" s="2" t="inlineStr">
        <is>
          <t>SU-026</t>
        </is>
      </c>
      <c r="C102" s="2" t="inlineStr">
        <is>
          <t>HW</t>
        </is>
      </c>
      <c r="D102" s="2" t="inlineStr"/>
      <c r="E102" s="2" t="n">
        <v>40</v>
      </c>
      <c r="F102" s="2" t="n">
        <v>410</v>
      </c>
      <c r="G102" s="2" t="inlineStr">
        <is>
          <t>Bedding</t>
        </is>
      </c>
      <c r="H102" s="2" t="inlineStr"/>
      <c r="I102" s="2" t="inlineStr">
        <is>
          <t>EVD-rec3AuCzNvlH0aA5H</t>
        </is>
      </c>
    </row>
    <row r="103">
      <c r="A103" s="2" t="inlineStr">
        <is>
          <t>SHI-0001</t>
        </is>
      </c>
      <c r="B103" s="2" t="inlineStr">
        <is>
          <t>SU-028</t>
        </is>
      </c>
      <c r="C103" s="2" t="inlineStr">
        <is>
          <t>HW</t>
        </is>
      </c>
      <c r="D103" s="2" t="inlineStr"/>
      <c r="E103" s="2" t="n">
        <v>70</v>
      </c>
      <c r="F103" s="2" t="n">
        <v>614</v>
      </c>
      <c r="G103" s="2" t="inlineStr">
        <is>
          <t>Hygiene &amp; Care (unspecified)</t>
        </is>
      </c>
      <c r="H103" s="2" t="inlineStr"/>
      <c r="I103" s="2" t="inlineStr">
        <is>
          <t>EVD-rec3AuCzNvlH0aA5H</t>
        </is>
      </c>
    </row>
    <row r="104">
      <c r="A104" s="2" t="inlineStr">
        <is>
          <t>SHI-0001</t>
        </is>
      </c>
      <c r="B104" s="2" t="inlineStr">
        <is>
          <t>SU-029</t>
        </is>
      </c>
      <c r="C104" s="2" t="inlineStr">
        <is>
          <t>HW</t>
        </is>
      </c>
      <c r="D104" s="2" t="inlineStr"/>
      <c r="E104" s="2" t="n">
        <v>24</v>
      </c>
      <c r="F104" s="2" t="n">
        <v>280</v>
      </c>
      <c r="G104" s="2" t="inlineStr">
        <is>
          <t>Hygiene &amp; Care (unspecified)</t>
        </is>
      </c>
      <c r="H104" s="2" t="inlineStr"/>
      <c r="I104" s="2" t="inlineStr">
        <is>
          <t>EVD-rec3AuCzNvlH0aA5H</t>
        </is>
      </c>
    </row>
    <row r="105">
      <c r="A105" s="2" t="inlineStr">
        <is>
          <t>SHI-0001</t>
        </is>
      </c>
      <c r="B105" s="2" t="inlineStr">
        <is>
          <t>SU-030</t>
        </is>
      </c>
      <c r="C105" s="2" t="inlineStr">
        <is>
          <t>HW</t>
        </is>
      </c>
      <c r="D105" s="2" t="inlineStr"/>
      <c r="E105" s="2" t="n">
        <v>24</v>
      </c>
      <c r="F105" s="2" t="n">
        <v>395</v>
      </c>
      <c r="G105" s="2" t="inlineStr">
        <is>
          <t>Clothing (unspecified)</t>
        </is>
      </c>
      <c r="H105" s="2" t="inlineStr"/>
      <c r="I105" s="2" t="inlineStr">
        <is>
          <t>EVD-rec3AuCzNvlH0aA5H</t>
        </is>
      </c>
    </row>
    <row r="106">
      <c r="A106" s="2" t="inlineStr">
        <is>
          <t>SHI-0001</t>
        </is>
      </c>
      <c r="B106" s="2" t="inlineStr">
        <is>
          <t>SU-031</t>
        </is>
      </c>
      <c r="C106" s="2" t="inlineStr">
        <is>
          <t>HW</t>
        </is>
      </c>
      <c r="D106" s="2" t="inlineStr"/>
      <c r="E106" s="2" t="n">
        <v>24</v>
      </c>
      <c r="F106" s="2" t="n">
        <v>400</v>
      </c>
      <c r="G106" s="2" t="inlineStr">
        <is>
          <t>Clothing (unspecified)</t>
        </is>
      </c>
      <c r="H106" s="2" t="inlineStr"/>
      <c r="I106" s="2" t="inlineStr">
        <is>
          <t>EVD-rec3AuCzNvlH0aA5H</t>
        </is>
      </c>
    </row>
    <row r="107">
      <c r="A107" s="2" t="inlineStr">
        <is>
          <t>SHI-0001</t>
        </is>
      </c>
      <c r="B107" s="2" t="inlineStr">
        <is>
          <t>SU-033</t>
        </is>
      </c>
      <c r="C107" s="2" t="inlineStr">
        <is>
          <t>HW</t>
        </is>
      </c>
      <c r="D107" s="2" t="inlineStr"/>
      <c r="E107" s="2" t="n">
        <v>40</v>
      </c>
      <c r="F107" s="2" t="n">
        <v>840</v>
      </c>
      <c r="G107" s="2" t="inlineStr">
        <is>
          <t>Oral care 6, period 8, wash/soap 8, unspecified 17</t>
        </is>
      </c>
      <c r="H107" s="2" t="inlineStr"/>
      <c r="I107" s="2" t="inlineStr">
        <is>
          <t>EVD-rec3AuCzNvlH0aA5H</t>
        </is>
      </c>
    </row>
    <row r="108">
      <c r="A108" s="2" t="inlineStr">
        <is>
          <t>SHI-0001</t>
        </is>
      </c>
      <c r="B108" s="2" t="inlineStr">
        <is>
          <t>SU-040</t>
        </is>
      </c>
      <c r="C108" s="2" t="inlineStr">
        <is>
          <t>HW</t>
        </is>
      </c>
      <c r="D108" s="2" t="inlineStr"/>
      <c r="E108" s="2" t="n">
        <v>20</v>
      </c>
      <c r="F108" s="2" t="n">
        <v>365</v>
      </c>
      <c r="G108" s="2" t="inlineStr">
        <is>
          <t>Clothing (unspecified)</t>
        </is>
      </c>
      <c r="H108" s="2" t="inlineStr"/>
      <c r="I108" s="2" t="inlineStr">
        <is>
          <t>EVD-rec3AuCzNvlH0aA5H</t>
        </is>
      </c>
    </row>
    <row r="109">
      <c r="A109" s="2" t="inlineStr">
        <is>
          <t>SHI-0001</t>
        </is>
      </c>
      <c r="B109" s="2" t="inlineStr">
        <is>
          <t>loose</t>
        </is>
      </c>
      <c r="C109" s="2" t="inlineStr">
        <is>
          <t>HW</t>
        </is>
      </c>
      <c r="D109" s="2" t="inlineStr"/>
      <c r="E109" s="2" t="n">
        <v>51</v>
      </c>
      <c r="F109" s="2" t="n">
        <v>510</v>
      </c>
      <c r="G109" s="2" t="inlineStr">
        <is>
          <t>Bedding — 51 bags</t>
        </is>
      </c>
      <c r="H109" s="2" t="inlineStr"/>
      <c r="I109" s="2" t="inlineStr">
        <is>
          <t>EVD-rec3AuCzNvlH0aA5H</t>
        </is>
      </c>
    </row>
    <row r="110">
      <c r="A110" s="2" t="inlineStr">
        <is>
          <t>SHI-0001</t>
        </is>
      </c>
      <c r="B110" s="2" t="inlineStr">
        <is>
          <t>SU-001</t>
        </is>
      </c>
      <c r="C110" s="2" t="inlineStr">
        <is>
          <t>NR</t>
        </is>
      </c>
      <c r="D110" s="2" t="inlineStr"/>
      <c r="E110" s="2" t="n">
        <v>36</v>
      </c>
      <c r="F110" s="2" t="n">
        <v>290</v>
      </c>
      <c r="G110" s="2" t="inlineStr">
        <is>
          <t>Hygiene &amp; Care (mixed)</t>
        </is>
      </c>
      <c r="H110" s="2" t="inlineStr"/>
      <c r="I110" s="2" t="inlineStr">
        <is>
          <t>EVD-rec3AuCzNvlH0aA5H</t>
        </is>
      </c>
    </row>
    <row r="111">
      <c r="A111" s="2" t="inlineStr">
        <is>
          <t>SHI-0001</t>
        </is>
      </c>
      <c r="B111" s="2" t="inlineStr">
        <is>
          <t>SU-002</t>
        </is>
      </c>
      <c r="C111" s="2" t="inlineStr">
        <is>
          <t>NR</t>
        </is>
      </c>
      <c r="D111" s="2" t="inlineStr"/>
      <c r="E111" s="2" t="n">
        <v>38</v>
      </c>
      <c r="F111" s="2" t="n">
        <v>403</v>
      </c>
      <c r="G111" s="2" t="inlineStr">
        <is>
          <t>Other care 25, razors 5, wash/soap 8</t>
        </is>
      </c>
      <c r="H111" s="2" t="inlineStr"/>
      <c r="I111" s="2" t="inlineStr">
        <is>
          <t>EVD-rec3AuCzNvlH0aA5H</t>
        </is>
      </c>
    </row>
    <row r="112">
      <c r="A112" s="2" t="inlineStr">
        <is>
          <t>SHI-0001</t>
        </is>
      </c>
      <c r="B112" s="2" t="inlineStr">
        <is>
          <t>SU-003</t>
        </is>
      </c>
      <c r="C112" s="2" t="inlineStr">
        <is>
          <t>NR</t>
        </is>
      </c>
      <c r="D112" s="2" t="inlineStr"/>
      <c r="E112" s="2" t="n">
        <v>28</v>
      </c>
      <c r="F112" s="2" t="n">
        <v>160</v>
      </c>
      <c r="G112" s="2" t="inlineStr">
        <is>
          <t>Other care</t>
        </is>
      </c>
      <c r="H112" s="2" t="inlineStr"/>
      <c r="I112" s="2" t="inlineStr">
        <is>
          <t>EVD-rec3AuCzNvlH0aA5H</t>
        </is>
      </c>
    </row>
    <row r="113">
      <c r="A113" s="2" t="inlineStr">
        <is>
          <t>SHI-0001</t>
        </is>
      </c>
      <c r="B113" s="2" t="inlineStr">
        <is>
          <t>SU-004</t>
        </is>
      </c>
      <c r="C113" s="2" t="inlineStr">
        <is>
          <t>NR</t>
        </is>
      </c>
      <c r="D113" s="2" t="inlineStr"/>
      <c r="E113" s="2" t="n">
        <v>33</v>
      </c>
      <c r="F113" s="2" t="n">
        <v>319</v>
      </c>
      <c r="G113" s="2" t="inlineStr">
        <is>
          <t>Razors 12, other care 21</t>
        </is>
      </c>
      <c r="H113" s="2" t="inlineStr"/>
      <c r="I113" s="2" t="inlineStr">
        <is>
          <t>EVD-rec3AuCzNvlH0aA5H</t>
        </is>
      </c>
    </row>
    <row r="114">
      <c r="A114" s="2" t="inlineStr">
        <is>
          <t>SHI-0001</t>
        </is>
      </c>
      <c r="B114" s="2" t="inlineStr">
        <is>
          <t>SU-019</t>
        </is>
      </c>
      <c r="C114" s="2" t="inlineStr">
        <is>
          <t>NR</t>
        </is>
      </c>
      <c r="D114" s="2" t="inlineStr"/>
      <c r="E114" s="2" t="n">
        <v>35</v>
      </c>
      <c r="F114" s="2" t="n">
        <v>445</v>
      </c>
      <c r="G114" s="2" t="inlineStr">
        <is>
          <t>Hygiene &amp; Care (unspecified)</t>
        </is>
      </c>
      <c r="H114" s="2" t="inlineStr"/>
      <c r="I114" s="2" t="inlineStr">
        <is>
          <t>EVD-rec3AuCzNvlH0aA5H</t>
        </is>
      </c>
    </row>
    <row r="115">
      <c r="A115" s="2" t="inlineStr">
        <is>
          <t>SHI-0001</t>
        </is>
      </c>
      <c r="B115" s="2" t="inlineStr">
        <is>
          <t>SU-023</t>
        </is>
      </c>
      <c r="C115" s="2" t="inlineStr">
        <is>
          <t>NR</t>
        </is>
      </c>
      <c r="D115" s="2" t="inlineStr"/>
      <c r="E115" s="2" t="n">
        <v>24</v>
      </c>
      <c r="F115" s="2" t="n">
        <v>340</v>
      </c>
      <c r="G115" s="2" t="inlineStr">
        <is>
          <t>Clothing (unspecified)</t>
        </is>
      </c>
      <c r="H115" s="2" t="inlineStr"/>
      <c r="I115" s="2" t="inlineStr">
        <is>
          <t>EVD-rec3AuCzNvlH0aA5H</t>
        </is>
      </c>
    </row>
    <row r="116">
      <c r="A116" s="2" t="inlineStr">
        <is>
          <t>SHI-0001</t>
        </is>
      </c>
      <c r="B116" s="2" t="inlineStr">
        <is>
          <t>SU-025</t>
        </is>
      </c>
      <c r="C116" s="2" t="inlineStr">
        <is>
          <t>NR</t>
        </is>
      </c>
      <c r="D116" s="2" t="inlineStr"/>
      <c r="E116" s="2" t="n">
        <v>24</v>
      </c>
      <c r="F116" s="2" t="n">
        <v>325</v>
      </c>
      <c r="G116" s="2" t="inlineStr">
        <is>
          <t>Clothing (unspecified)</t>
        </is>
      </c>
      <c r="H116" s="2" t="inlineStr"/>
      <c r="I116" s="2" t="inlineStr">
        <is>
          <t>EVD-rec3AuCzNvlH0aA5H</t>
        </is>
      </c>
    </row>
    <row r="117">
      <c r="A117" s="2" t="inlineStr">
        <is>
          <t>SHI-0001</t>
        </is>
      </c>
      <c r="B117" s="2" t="inlineStr">
        <is>
          <t>SU-036</t>
        </is>
      </c>
      <c r="C117" s="2" t="inlineStr">
        <is>
          <t>NR</t>
        </is>
      </c>
      <c r="D117" s="2" t="inlineStr"/>
      <c r="E117" s="2" t="n">
        <v>1</v>
      </c>
      <c r="F117" s="2" t="n">
        <v>490</v>
      </c>
      <c r="G117" s="2" t="inlineStr">
        <is>
          <t>Health &amp; Medical Aid (single unit, unspecified)</t>
        </is>
      </c>
      <c r="H117" s="2" t="inlineStr"/>
      <c r="I117" s="2" t="inlineStr">
        <is>
          <t>EVD-rec3AuCzNvlH0aA5H</t>
        </is>
      </c>
    </row>
    <row r="118">
      <c r="A118" s="2" t="inlineStr">
        <is>
          <t>SHI-0001</t>
        </is>
      </c>
      <c r="B118" s="2" t="inlineStr">
        <is>
          <t>SU-037</t>
        </is>
      </c>
      <c r="C118" s="2" t="inlineStr">
        <is>
          <t>NR</t>
        </is>
      </c>
      <c r="D118" s="2" t="inlineStr"/>
      <c r="E118" s="2" t="n">
        <v>1</v>
      </c>
      <c r="F118" s="2" t="n">
        <v>460</v>
      </c>
      <c r="G118" s="2" t="inlineStr">
        <is>
          <t>Health &amp; Medical Aid (single unit)</t>
        </is>
      </c>
      <c r="H118" s="2" t="inlineStr"/>
      <c r="I118" s="2" t="inlineStr">
        <is>
          <t>EVD-rec3AuCzNvlH0aA5H</t>
        </is>
      </c>
    </row>
    <row r="119">
      <c r="A119" s="2" t="inlineStr">
        <is>
          <t>SHI-0001</t>
        </is>
      </c>
      <c r="B119" s="2" t="inlineStr">
        <is>
          <t>SU-038</t>
        </is>
      </c>
      <c r="C119" s="2" t="inlineStr">
        <is>
          <t>NR</t>
        </is>
      </c>
      <c r="D119" s="2" t="inlineStr"/>
      <c r="E119" s="2" t="n">
        <v>1</v>
      </c>
      <c r="F119" s="2" t="n">
        <v>515</v>
      </c>
      <c r="G119" s="2" t="inlineStr">
        <is>
          <t>Health &amp; Medical Aid (single unit)</t>
        </is>
      </c>
      <c r="H119" s="2" t="inlineStr"/>
      <c r="I119" s="2" t="inlineStr">
        <is>
          <t>EVD-rec3AuCzNvlH0aA5H</t>
        </is>
      </c>
    </row>
    <row r="120">
      <c r="A120" s="2" t="inlineStr">
        <is>
          <t>SHI-0001</t>
        </is>
      </c>
      <c r="B120" s="2" t="inlineStr">
        <is>
          <t>SU-039</t>
        </is>
      </c>
      <c r="C120" s="2" t="inlineStr">
        <is>
          <t>NR</t>
        </is>
      </c>
      <c r="D120" s="2" t="inlineStr"/>
      <c r="E120" s="2" t="n">
        <v>1</v>
      </c>
      <c r="F120" s="2" t="n">
        <v>483</v>
      </c>
      <c r="G120" s="2" t="inlineStr">
        <is>
          <t>Health &amp; Medical Aid (single unit)</t>
        </is>
      </c>
      <c r="H120" s="2" t="inlineStr"/>
      <c r="I120" s="2" t="inlineStr">
        <is>
          <t>EVD-rec3AuCzNvlH0aA5H</t>
        </is>
      </c>
    </row>
    <row r="121">
      <c r="A121" s="2" t="inlineStr">
        <is>
          <t>SHI-0001</t>
        </is>
      </c>
      <c r="B121" s="2" t="inlineStr">
        <is>
          <t>SU-041</t>
        </is>
      </c>
      <c r="C121" s="2" t="inlineStr">
        <is>
          <t>NR</t>
        </is>
      </c>
      <c r="D121" s="2" t="inlineStr"/>
      <c r="E121" s="2" t="n">
        <v>2</v>
      </c>
      <c r="F121" s="2" t="n">
        <v>1115</v>
      </c>
      <c r="G121" s="2" t="inlineStr">
        <is>
          <t>Tools &amp; Utility</t>
        </is>
      </c>
      <c r="H121" s="2" t="inlineStr"/>
      <c r="I121" s="2" t="inlineStr">
        <is>
          <t>EVD-rec3AuCzNvlH0aA5H</t>
        </is>
      </c>
    </row>
    <row r="122">
      <c r="A122" s="2" t="inlineStr">
        <is>
          <t>SHI-0001</t>
        </is>
      </c>
      <c r="B122" s="2" t="inlineStr">
        <is>
          <t>SU-042</t>
        </is>
      </c>
      <c r="C122" s="2" t="inlineStr">
        <is>
          <t>NR</t>
        </is>
      </c>
      <c r="D122" s="2" t="inlineStr"/>
      <c r="E122" s="2" t="n">
        <v>2</v>
      </c>
      <c r="F122" s="2" t="n">
        <v>1025</v>
      </c>
      <c r="G122" s="2" t="inlineStr">
        <is>
          <t>Tools &amp; Utility</t>
        </is>
      </c>
      <c r="H122" s="2" t="inlineStr"/>
      <c r="I122" s="2" t="inlineStr">
        <is>
          <t>EVD-rec3AuCzNvlH0aA5H</t>
        </is>
      </c>
    </row>
    <row r="123">
      <c r="A123" s="2" t="inlineStr">
        <is>
          <t>SHI-0003</t>
        </is>
      </c>
      <c r="B123" s="2" t="inlineStr">
        <is>
          <t>P6</t>
        </is>
      </c>
      <c r="C123" s="2" t="inlineStr">
        <is>
          <t>HW</t>
        </is>
      </c>
      <c r="D123" s="2" t="inlineStr"/>
      <c r="E123" s="2" t="n">
        <v>40</v>
      </c>
      <c r="F123" s="2" t="n">
        <v>695</v>
      </c>
      <c r="G123" s="2" t="inlineStr">
        <is>
          <t>Food</t>
        </is>
      </c>
      <c r="H123" s="2" t="inlineStr"/>
      <c r="I123" s="2" t="inlineStr">
        <is>
          <t>EVD-rec0F392MGFzyMkvY</t>
        </is>
      </c>
    </row>
    <row r="124">
      <c r="A124" s="2" t="inlineStr">
        <is>
          <t>SHI-0003</t>
        </is>
      </c>
      <c r="B124" s="2" t="inlineStr">
        <is>
          <t>P7</t>
        </is>
      </c>
      <c r="C124" s="2" t="inlineStr">
        <is>
          <t>HW</t>
        </is>
      </c>
      <c r="D124" s="2" t="inlineStr"/>
      <c r="E124" s="2" t="n">
        <v>40</v>
      </c>
      <c r="F124" s="2" t="n">
        <v>730</v>
      </c>
      <c r="G124" s="2" t="inlineStr">
        <is>
          <t>Food</t>
        </is>
      </c>
      <c r="H124" s="2" t="inlineStr"/>
      <c r="I124" s="2" t="inlineStr">
        <is>
          <t>EVD-rec0F392MGFzyMkvY</t>
        </is>
      </c>
    </row>
    <row r="125">
      <c r="A125" s="2" t="inlineStr">
        <is>
          <t>SHI-0003</t>
        </is>
      </c>
      <c r="B125" s="2" t="inlineStr">
        <is>
          <t>P8</t>
        </is>
      </c>
      <c r="C125" s="2" t="inlineStr">
        <is>
          <t>HW</t>
        </is>
      </c>
      <c r="D125" s="2" t="inlineStr"/>
      <c r="E125" s="2" t="n">
        <v>40</v>
      </c>
      <c r="F125" s="2" t="n">
        <v>816</v>
      </c>
      <c r="G125" s="2" t="inlineStr">
        <is>
          <t>Food</t>
        </is>
      </c>
      <c r="H125" s="2" t="inlineStr"/>
      <c r="I125" s="2" t="inlineStr">
        <is>
          <t>EVD-rec0F392MGFzyMkvY</t>
        </is>
      </c>
    </row>
    <row r="126">
      <c r="A126" s="2" t="inlineStr">
        <is>
          <t>SHI-0003</t>
        </is>
      </c>
      <c r="B126" s="2" t="inlineStr">
        <is>
          <t>P9</t>
        </is>
      </c>
      <c r="C126" s="2" t="inlineStr">
        <is>
          <t>HW</t>
        </is>
      </c>
      <c r="D126" s="2" t="inlineStr"/>
      <c r="E126" s="2" t="n">
        <v>24</v>
      </c>
      <c r="F126" s="2" t="n">
        <v>309</v>
      </c>
      <c r="G126" s="2" t="inlineStr">
        <is>
          <t>Diapers</t>
        </is>
      </c>
      <c r="H126" s="2" t="inlineStr"/>
      <c r="I126" s="2" t="inlineStr">
        <is>
          <t>EVD-rec0F392MGFzyMkvY</t>
        </is>
      </c>
    </row>
    <row r="127">
      <c r="A127" s="2" t="inlineStr">
        <is>
          <t>SHI-0003</t>
        </is>
      </c>
      <c r="B127" s="2" t="inlineStr">
        <is>
          <t>P10</t>
        </is>
      </c>
      <c r="C127" s="2" t="inlineStr">
        <is>
          <t>HW</t>
        </is>
      </c>
      <c r="D127" s="2" t="inlineStr"/>
      <c r="E127" s="2" t="n">
        <v>40</v>
      </c>
      <c r="F127" s="2" t="n">
        <v>262</v>
      </c>
      <c r="G127" s="2" t="inlineStr">
        <is>
          <t>Hygiene</t>
        </is>
      </c>
      <c r="H127" s="2" t="inlineStr"/>
      <c r="I127" s="2" t="inlineStr">
        <is>
          <t>EVD-rec0F392MGFzyMkvY</t>
        </is>
      </c>
    </row>
    <row r="128">
      <c r="A128" s="2" t="inlineStr">
        <is>
          <t>SHI-0003</t>
        </is>
      </c>
      <c r="B128" s="2" t="inlineStr">
        <is>
          <t>P11</t>
        </is>
      </c>
      <c r="C128" s="2" t="inlineStr">
        <is>
          <t>HW</t>
        </is>
      </c>
      <c r="D128" s="2" t="inlineStr"/>
      <c r="E128" s="2" t="n">
        <v>24</v>
      </c>
      <c r="F128" s="2" t="n">
        <v>258</v>
      </c>
      <c r="G128" s="2" t="inlineStr">
        <is>
          <t>Incontinence</t>
        </is>
      </c>
      <c r="H128" s="2" t="inlineStr"/>
      <c r="I128" s="2" t="inlineStr">
        <is>
          <t>EVD-rec0F392MGFzyMkvY</t>
        </is>
      </c>
    </row>
    <row r="129">
      <c r="A129" s="2" t="inlineStr">
        <is>
          <t>SHI-0003</t>
        </is>
      </c>
      <c r="B129" s="2" t="inlineStr">
        <is>
          <t>P12</t>
        </is>
      </c>
      <c r="C129" s="2" t="inlineStr">
        <is>
          <t>HW</t>
        </is>
      </c>
      <c r="D129" s="2" t="inlineStr"/>
      <c r="E129" s="2" t="n">
        <v>28</v>
      </c>
      <c r="F129" s="2" t="n">
        <v>280</v>
      </c>
      <c r="G129" s="2" t="inlineStr">
        <is>
          <t>Incontinence</t>
        </is>
      </c>
      <c r="H129" s="2" t="inlineStr"/>
      <c r="I129" s="2" t="inlineStr">
        <is>
          <t>EVD-rec0F392MGFzyMkvY</t>
        </is>
      </c>
    </row>
    <row r="130">
      <c r="A130" s="2" t="inlineStr">
        <is>
          <t>SHI-0003</t>
        </is>
      </c>
      <c r="B130" s="2" t="inlineStr">
        <is>
          <t>P13</t>
        </is>
      </c>
      <c r="C130" s="2" t="inlineStr">
        <is>
          <t>HW</t>
        </is>
      </c>
      <c r="D130" s="2" t="inlineStr"/>
      <c r="E130" s="2" t="n">
        <v>24</v>
      </c>
      <c r="F130" s="2" t="n">
        <v>304</v>
      </c>
      <c r="G130" s="2" t="inlineStr">
        <is>
          <t>Diapers</t>
        </is>
      </c>
      <c r="H130" s="2" t="inlineStr"/>
      <c r="I130" s="2" t="inlineStr">
        <is>
          <t>EVD-rec0F392MGFzyMkvY</t>
        </is>
      </c>
    </row>
    <row r="131">
      <c r="A131" s="2" t="inlineStr">
        <is>
          <t>SHI-0003</t>
        </is>
      </c>
      <c r="B131" s="2" t="inlineStr">
        <is>
          <t>P14</t>
        </is>
      </c>
      <c r="C131" s="2" t="inlineStr">
        <is>
          <t>HW</t>
        </is>
      </c>
      <c r="D131" s="2" t="inlineStr"/>
      <c r="E131" s="2" t="n">
        <v>40</v>
      </c>
      <c r="F131" s="2" t="n">
        <v>807</v>
      </c>
      <c r="G131" s="2" t="inlineStr">
        <is>
          <t>Food</t>
        </is>
      </c>
      <c r="H131" s="2" t="inlineStr"/>
      <c r="I131" s="2" t="inlineStr">
        <is>
          <t>EVD-rec0F392MGFzyMkvY</t>
        </is>
      </c>
    </row>
    <row r="132">
      <c r="A132" s="2" t="inlineStr">
        <is>
          <t>SHI-0003</t>
        </is>
      </c>
      <c r="B132" s="2" t="inlineStr">
        <is>
          <t>P15</t>
        </is>
      </c>
      <c r="C132" s="2" t="inlineStr">
        <is>
          <t>HW</t>
        </is>
      </c>
      <c r="D132" s="2" t="inlineStr"/>
      <c r="E132" s="2" t="n">
        <v>85</v>
      </c>
      <c r="F132" s="2" t="n">
        <v>736</v>
      </c>
      <c r="G132" s="2" t="inlineStr">
        <is>
          <t>Hygiene</t>
        </is>
      </c>
      <c r="H132" s="2" t="inlineStr"/>
      <c r="I132" s="2" t="inlineStr">
        <is>
          <t>EVD-rec0F392MGFzyMkvY</t>
        </is>
      </c>
    </row>
    <row r="133">
      <c r="A133" s="2" t="inlineStr">
        <is>
          <t>SHI-0003</t>
        </is>
      </c>
      <c r="B133" s="2" t="inlineStr">
        <is>
          <t>P16</t>
        </is>
      </c>
      <c r="C133" s="2" t="inlineStr">
        <is>
          <t>HW</t>
        </is>
      </c>
      <c r="D133" s="2" t="inlineStr"/>
      <c r="E133" s="2" t="n">
        <v>24</v>
      </c>
      <c r="F133" s="2" t="n">
        <v>320</v>
      </c>
      <c r="G133" s="2" t="inlineStr">
        <is>
          <t>Diapers</t>
        </is>
      </c>
      <c r="H133" s="2" t="inlineStr"/>
      <c r="I133" s="2" t="inlineStr">
        <is>
          <t>EVD-rec0F392MGFzyMkvY</t>
        </is>
      </c>
    </row>
    <row r="134">
      <c r="A134" s="2" t="inlineStr">
        <is>
          <t>SHI-0003</t>
        </is>
      </c>
      <c r="B134" s="2" t="inlineStr">
        <is>
          <t>P17</t>
        </is>
      </c>
      <c r="C134" s="2" t="inlineStr">
        <is>
          <t>HW</t>
        </is>
      </c>
      <c r="D134" s="2" t="inlineStr"/>
      <c r="E134" s="2" t="n">
        <v>40</v>
      </c>
      <c r="F134" s="2" t="n">
        <v>827</v>
      </c>
      <c r="G134" s="2" t="inlineStr">
        <is>
          <t>Hygiene</t>
        </is>
      </c>
      <c r="H134" s="2" t="inlineStr"/>
      <c r="I134" s="2" t="inlineStr">
        <is>
          <t>EVD-rec0F392MGFzyMkvY</t>
        </is>
      </c>
    </row>
    <row r="135">
      <c r="A135" s="2" t="inlineStr">
        <is>
          <t>SHI-0003</t>
        </is>
      </c>
      <c r="B135" s="2" t="inlineStr">
        <is>
          <t>P18</t>
        </is>
      </c>
      <c r="C135" s="2" t="inlineStr">
        <is>
          <t>HW</t>
        </is>
      </c>
      <c r="D135" s="2" t="inlineStr"/>
      <c r="E135" s="2" t="n">
        <v>52</v>
      </c>
      <c r="F135" s="2" t="n">
        <v>560</v>
      </c>
      <c r="G135" s="2" t="inlineStr">
        <is>
          <t>Baby products</t>
        </is>
      </c>
      <c r="H135" s="2" t="inlineStr"/>
      <c r="I135" s="2" t="inlineStr">
        <is>
          <t>EVD-rec0F392MGFzyMkvY</t>
        </is>
      </c>
    </row>
    <row r="136">
      <c r="A136" s="2" t="inlineStr">
        <is>
          <t>SHI-0003</t>
        </is>
      </c>
      <c r="B136" s="2" t="inlineStr">
        <is>
          <t>P19</t>
        </is>
      </c>
      <c r="C136" s="2" t="inlineStr">
        <is>
          <t>HW</t>
        </is>
      </c>
      <c r="D136" s="2" t="inlineStr"/>
      <c r="E136" s="2" t="n">
        <v>40</v>
      </c>
      <c r="F136" s="2" t="n">
        <v>812</v>
      </c>
      <c r="G136" s="2" t="inlineStr">
        <is>
          <t>Food</t>
        </is>
      </c>
      <c r="H136" s="2" t="inlineStr"/>
      <c r="I136" s="2" t="inlineStr">
        <is>
          <t>EVD-rec0F392MGFzyMkvY</t>
        </is>
      </c>
    </row>
    <row r="137">
      <c r="A137" s="2" t="inlineStr">
        <is>
          <t>SHI-0003</t>
        </is>
      </c>
      <c r="B137" s="2" t="inlineStr">
        <is>
          <t>P20</t>
        </is>
      </c>
      <c r="C137" s="2" t="inlineStr">
        <is>
          <t>HW</t>
        </is>
      </c>
      <c r="D137" s="2" t="inlineStr"/>
      <c r="E137" s="2" t="n">
        <v>108</v>
      </c>
      <c r="F137" s="2" t="n">
        <v>1063</v>
      </c>
      <c r="G137" s="2" t="inlineStr">
        <is>
          <t>Hygiene</t>
        </is>
      </c>
      <c r="H137" s="2" t="inlineStr"/>
      <c r="I137" s="2" t="inlineStr">
        <is>
          <t>EVD-rec0F392MGFzyMkvY</t>
        </is>
      </c>
    </row>
    <row r="138">
      <c r="A138" s="2" t="inlineStr">
        <is>
          <t>SHI-0003</t>
        </is>
      </c>
      <c r="B138" s="2" t="inlineStr">
        <is>
          <t>P1</t>
        </is>
      </c>
      <c r="C138" s="2" t="inlineStr">
        <is>
          <t>NR</t>
        </is>
      </c>
      <c r="D138" s="2" t="inlineStr"/>
      <c r="E138" s="2" t="n">
        <v>40</v>
      </c>
      <c r="F138" s="2" t="n">
        <v>451</v>
      </c>
      <c r="G138" s="2" t="inlineStr">
        <is>
          <t>Hospital supplies</t>
        </is>
      </c>
      <c r="H138" s="2" t="inlineStr"/>
      <c r="I138" s="2" t="inlineStr">
        <is>
          <t>EVD-rec0F392MGFzyMkvY</t>
        </is>
      </c>
    </row>
    <row r="139">
      <c r="A139" s="2" t="inlineStr">
        <is>
          <t>SHI-0003</t>
        </is>
      </c>
      <c r="B139" s="2" t="inlineStr">
        <is>
          <t>P2</t>
        </is>
      </c>
      <c r="C139" s="2" t="inlineStr">
        <is>
          <t>NR</t>
        </is>
      </c>
      <c r="D139" s="2" t="inlineStr"/>
      <c r="E139" s="2" t="n">
        <v>28</v>
      </c>
      <c r="F139" s="2" t="n">
        <v>301</v>
      </c>
      <c r="G139" s="2" t="inlineStr">
        <is>
          <t>Hospital supplies</t>
        </is>
      </c>
      <c r="H139" s="2" t="inlineStr"/>
      <c r="I139" s="2" t="inlineStr">
        <is>
          <t>EVD-rec0F392MGFzyMkvY</t>
        </is>
      </c>
    </row>
    <row r="140">
      <c r="A140" s="2" t="inlineStr">
        <is>
          <t>SHI-0003</t>
        </is>
      </c>
      <c r="B140" s="2" t="inlineStr">
        <is>
          <t>P3</t>
        </is>
      </c>
      <c r="C140" s="2" t="inlineStr">
        <is>
          <t>NR</t>
        </is>
      </c>
      <c r="D140" s="2" t="inlineStr"/>
      <c r="E140" s="2" t="n">
        <v>28</v>
      </c>
      <c r="F140" s="2" t="n">
        <v>338</v>
      </c>
      <c r="G140" s="2" t="inlineStr">
        <is>
          <t>Hospital supplies</t>
        </is>
      </c>
      <c r="H140" s="2" t="inlineStr"/>
      <c r="I140" s="2" t="inlineStr">
        <is>
          <t>EVD-rec0F392MGFzyMkvY</t>
        </is>
      </c>
    </row>
    <row r="141">
      <c r="A141" s="2" t="inlineStr">
        <is>
          <t>SHI-0003</t>
        </is>
      </c>
      <c r="B141" s="2" t="inlineStr">
        <is>
          <t>P4</t>
        </is>
      </c>
      <c r="C141" s="2" t="inlineStr">
        <is>
          <t>NR</t>
        </is>
      </c>
      <c r="D141" s="2" t="inlineStr"/>
      <c r="E141" s="2" t="n">
        <v>32</v>
      </c>
      <c r="F141" s="2" t="n">
        <v>152</v>
      </c>
      <c r="G141" s="2" t="inlineStr">
        <is>
          <t>Hospital supplies</t>
        </is>
      </c>
      <c r="H141" s="2" t="inlineStr"/>
      <c r="I141" s="2" t="inlineStr">
        <is>
          <t>EVD-rec0F392MGFzyMkvY</t>
        </is>
      </c>
    </row>
    <row r="142">
      <c r="A142" s="2" t="inlineStr">
        <is>
          <t>SHI-0003</t>
        </is>
      </c>
      <c r="B142" s="2" t="inlineStr">
        <is>
          <t>P5</t>
        </is>
      </c>
      <c r="C142" s="2" t="inlineStr">
        <is>
          <t>NR</t>
        </is>
      </c>
      <c r="D142" s="2" t="inlineStr"/>
      <c r="E142" s="2" t="n">
        <v>36</v>
      </c>
      <c r="F142" s="2" t="n">
        <v>269</v>
      </c>
      <c r="G142" s="2" t="inlineStr">
        <is>
          <t>Hospital supplies</t>
        </is>
      </c>
      <c r="H142" s="2" t="inlineStr"/>
      <c r="I142" s="2" t="inlineStr">
        <is>
          <t>EVD-rec0F392MGFzyMkvY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56" customWidth="1" min="4" max="4"/>
    <col width="34" customWidth="1" min="5" max="5"/>
    <col width="40" customWidth="1" min="6" max="6"/>
    <col width="26" customWidth="1" min="7" max="7"/>
    <col width="30" customWidth="1" min="8" max="8"/>
  </cols>
  <sheetData>
    <row r="1">
      <c r="A1" s="1" t="inlineStr">
        <is>
          <t>month</t>
        </is>
      </c>
      <c r="B1" s="1" t="inlineStr">
        <is>
          <t>item</t>
        </is>
      </c>
      <c r="C1" s="1" t="inlineStr">
        <is>
          <t>prior_statement_and_location</t>
        </is>
      </c>
      <c r="D1" s="1" t="inlineStr">
        <is>
          <t>evidence_supported_result</t>
        </is>
      </c>
      <c r="E1" s="1" t="inlineStr">
        <is>
          <t>supporting_source</t>
        </is>
      </c>
      <c r="F1" s="1" t="inlineStr">
        <is>
          <t>reason_if_known</t>
        </is>
      </c>
      <c r="G1" s="1" t="inlineStr">
        <is>
          <t>outcome</t>
        </is>
      </c>
      <c r="H1" s="1" t="inlineStr">
        <is>
          <t>reconstruction_object</t>
        </is>
      </c>
    </row>
    <row r="2">
      <c r="A2" s="2" t="inlineStr">
        <is>
          <t>Jan</t>
        </is>
      </c>
      <c r="B2" s="2" t="inlineStr">
        <is>
          <t>Food kg</t>
        </is>
      </c>
      <c r="C2" s="2" t="inlineStr">
        <is>
          <t>Kees Comparison: 5,482 vs James 6,233 (−751), 'short — missing shipment or allocation'</t>
        </is>
      </c>
      <c r="D2" s="2" t="inlineStr">
        <is>
          <t>6,233 = HW 4,534 + NR 1,699 (CMR sheets)</t>
        </is>
      </c>
      <c r="E2" s="2" t="inlineStr">
        <is>
          <t>Truck January 2026.xlsx HW/NR sheets</t>
        </is>
      </c>
      <c r="F2" s="2" t="inlineStr">
        <is>
          <t>Kees Goods_Lines pallet 17 (759 kg) 'split pending' → 0; not a missing shipment</t>
        </is>
      </c>
      <c r="G2" s="2" t="inlineStr">
        <is>
          <t>CORRECTION to Kees workbook</t>
        </is>
      </c>
      <c r="H2" s="2" t="inlineStr">
        <is>
          <t>ROB-recclQ34CTtgzne9g</t>
        </is>
      </c>
    </row>
    <row r="3">
      <c r="A3" s="2" t="inlineStr">
        <is>
          <t>Jan</t>
        </is>
      </c>
      <c r="B3" s="2" t="inlineStr">
        <is>
          <t>Hygiene kg</t>
        </is>
      </c>
      <c r="C3" s="2" t="inlineStr">
        <is>
          <t>Kees 927 vs James 935 (−8)</t>
        </is>
      </c>
      <c r="D3" s="2" t="inlineStr">
        <is>
          <t>HW sheet 935 (pallet 30 hygiene 100); Total sheet 835</t>
        </is>
      </c>
      <c r="E3" s="2" t="inlineStr">
        <is>
          <t>Truck January 2026.xlsx</t>
        </is>
      </c>
      <c r="F3" s="2" t="inlineStr">
        <is>
          <t>Kees used 92 for pallet 30 hygiene; sheets disagree internally (100 vs 0)</t>
        </is>
      </c>
      <c r="G3" s="2" t="inlineStr">
        <is>
          <t>QUALIFICATION</t>
        </is>
      </c>
      <c r="H3" s="2" t="inlineStr">
        <is>
          <t>ROB-recclQ34CTtgzne9g</t>
        </is>
      </c>
    </row>
    <row r="4">
      <c r="A4" s="2" t="inlineStr">
        <is>
          <t>Jan</t>
        </is>
      </c>
      <c r="B4" s="2" t="inlineStr">
        <is>
          <t>Medical kg</t>
        </is>
      </c>
      <c r="C4" s="2" t="inlineStr">
        <is>
          <t>Kees 632 vs James 32,632 (−32,000)</t>
        </is>
      </c>
      <c r="D4" s="2" t="inlineStr">
        <is>
          <t>Documented: 632 (P23 357 + P28 275). 32,000 unsupported by any sheet</t>
        </is>
      </c>
      <c r="E4" s="2" t="inlineStr">
        <is>
          <t>Truck January 2026.xlsx; James workbook</t>
        </is>
      </c>
      <c r="F4" s="2" t="inlineStr">
        <is>
          <t>Undocumented Truck 1 / Truck 3; Kees attributes to Lithuania mattresses (unconfirmed)</t>
        </is>
      </c>
      <c r="G4" s="2" t="inlineStr">
        <is>
          <t>UNRESOLVED — James to supply</t>
        </is>
      </c>
      <c r="H4" s="2" t="inlineStr">
        <is>
          <t>ROB-rec3LncyByihvWJ7w; ROB-recO2rSGDV2NHLlFu</t>
        </is>
      </c>
    </row>
    <row r="5">
      <c r="A5" s="2" t="inlineStr">
        <is>
          <t>Jan</t>
        </is>
      </c>
      <c r="B5" s="2" t="inlineStr">
        <is>
          <t>Region split</t>
        </is>
      </c>
      <c r="C5" s="2" t="inlineStr">
        <is>
          <t>Kees: consignee-based; James: Kharkiv/Donetsk</t>
        </is>
      </c>
      <c r="D5" s="2" t="inlineStr">
        <is>
          <t>James: NR clothing→Donetsk; NR food 1,699 shown as 699; Kharkiv food 5,534</t>
        </is>
      </c>
      <c r="E5" s="2" t="inlineStr">
        <is>
          <t>James workbook Jan tab</t>
        </is>
      </c>
      <c r="F5" s="2" t="inlineStr">
        <is>
          <t>James's regions are a reporting convention, not consignee</t>
        </is>
      </c>
      <c r="G5" s="2" t="inlineStr">
        <is>
          <t>QUALIFICATION</t>
        </is>
      </c>
      <c r="H5" s="2" t="inlineStr">
        <is>
          <t>ROB-rec2SXYOAnOati9oQ</t>
        </is>
      </c>
    </row>
    <row r="6">
      <c r="A6" s="2" t="inlineStr">
        <is>
          <t>Jan</t>
        </is>
      </c>
      <c r="B6" s="2" t="inlineStr">
        <is>
          <t>Mission 33</t>
        </is>
      </c>
      <c r="C6" s="2" t="inlineStr">
        <is>
          <t>Kees note: armoured van, mostly clothing, ~700 kg, no date</t>
        </is>
      </c>
      <c r="D6" s="2" t="inlineStr">
        <is>
          <t>Working sheet: pallet 18 medical supplies 24 boxes 315 kg 'in the van for mission 33'; Lieke 23 Jan 'preparing mission 33'; James 3 Feb van not ready</t>
        </is>
      </c>
      <c r="E6" s="2" t="inlineStr">
        <is>
          <t>Truck January xlsx; Slack #marketing, #fundraising</t>
        </is>
      </c>
      <c r="F6" s="2" t="inlineStr">
        <is>
          <t>Load and date both unresolved; James's Jan placement contradicted</t>
        </is>
      </c>
      <c r="G6" s="2" t="inlineStr">
        <is>
          <t>UNRESOLVED</t>
        </is>
      </c>
      <c r="H6" s="2" t="inlineStr">
        <is>
          <t>ROB-recqfCoNgY3BgXINx; ROB-reckOFPCVHjlD6KJF</t>
        </is>
      </c>
    </row>
    <row r="7">
      <c r="A7" s="2" t="inlineStr">
        <is>
          <t>Feb</t>
        </is>
      </c>
      <c r="B7" s="2" t="inlineStr">
        <is>
          <t>Medical 16,000 kg</t>
        </is>
      </c>
      <c r="C7" s="2" t="inlineStr">
        <is>
          <t>Kees: Truck 4 not in sources</t>
        </is>
      </c>
      <c r="D7" s="2" t="inlineStr">
        <is>
          <t>Same as Jan 32,000 — undocumented</t>
        </is>
      </c>
      <c r="E7" s="2" t="inlineStr">
        <is>
          <t>James workbook Feb tab</t>
        </is>
      </c>
      <c r="F7" s="2" t="inlineStr">
        <is>
          <t>—</t>
        </is>
      </c>
      <c r="G7" s="2" t="inlineStr">
        <is>
          <t>UNRESOLVED — James to supply</t>
        </is>
      </c>
      <c r="H7" s="2" t="inlineStr">
        <is>
          <t>ROB-rec3LncyByihvWJ7w</t>
        </is>
      </c>
    </row>
    <row r="8">
      <c r="A8" s="2" t="inlineStr">
        <is>
          <t>Feb</t>
        </is>
      </c>
      <c r="B8" s="2" t="inlineStr">
        <is>
          <t>Mission 34</t>
        </is>
      </c>
      <c r="C8" s="2" t="inlineStr">
        <is>
          <t>Kees: 13 Nutridrink 260 kg confirmed</t>
        </is>
      </c>
      <c r="D8" s="2" t="inlineStr">
        <is>
          <t>Confirmed; DM 4 Feb shows short-expiry nutrition prioritised</t>
        </is>
      </c>
      <c r="E8" s="2" t="inlineStr">
        <is>
          <t>Kees note; Slack DM</t>
        </is>
      </c>
      <c r="F8" s="2" t="inlineStr">
        <is>
          <t>—</t>
        </is>
      </c>
      <c r="G8" s="2" t="inlineStr">
        <is>
          <t>RETAINED</t>
        </is>
      </c>
      <c r="H8" s="2" t="inlineStr">
        <is>
          <t>ROB-recnh2w8NfAksexUL</t>
        </is>
      </c>
    </row>
    <row r="9">
      <c r="A9" s="2" t="inlineStr">
        <is>
          <t>Mar</t>
        </is>
      </c>
      <c r="B9" s="2" t="inlineStr">
        <is>
          <t>Totals</t>
        </is>
      </c>
      <c r="C9" s="2" t="inlineStr">
        <is>
          <t>Kees: 31 pallets 19,319 kg; NR 4,226; HW 15,093</t>
        </is>
      </c>
      <c r="D9" s="2" t="inlineStr">
        <is>
          <t>Confirmed at sheet level</t>
        </is>
      </c>
      <c r="E9" s="2" t="inlineStr">
        <is>
          <t>Truck March (def.)</t>
        </is>
      </c>
      <c r="F9" s="2" t="inlineStr">
        <is>
          <t>—</t>
        </is>
      </c>
      <c r="G9" s="2" t="inlineStr">
        <is>
          <t>RETAINED</t>
        </is>
      </c>
      <c r="H9" s="2" t="inlineStr">
        <is>
          <t>ROB-recl6gIk4jwSbqm6p</t>
        </is>
      </c>
    </row>
    <row r="10">
      <c r="A10" s="2" t="inlineStr">
        <is>
          <t>Mar</t>
        </is>
      </c>
      <c r="B10" s="2" t="inlineStr">
        <is>
          <t>NR boxes 250→342</t>
        </is>
      </c>
      <c r="C10" s="2" t="inlineStr">
        <is>
          <t>Kees Correction #7</t>
        </is>
      </c>
      <c r="D10" s="2" t="inlineStr">
        <is>
          <t>Confirmed (92 nutrition omitted from summary)</t>
        </is>
      </c>
      <c r="E10" s="2" t="inlineStr">
        <is>
          <t>Truck March (def.) NR sheet</t>
        </is>
      </c>
      <c r="F10" s="2" t="inlineStr">
        <is>
          <t>—</t>
        </is>
      </c>
      <c r="G10" s="2" t="inlineStr">
        <is>
          <t>RETAINED</t>
        </is>
      </c>
      <c r="H10" s="2" t="inlineStr">
        <is>
          <t>ROB-recWORLSXcsZPpKOQ</t>
        </is>
      </c>
    </row>
    <row r="11">
      <c r="A11" s="2" t="inlineStr">
        <is>
          <t>Mar</t>
        </is>
      </c>
      <c r="B11" s="2" t="inlineStr">
        <is>
          <t>Pallet 21 boxes 60 vs 59</t>
        </is>
      </c>
      <c r="C11" s="2" t="inlineStr">
        <is>
          <t>Kees Correction #8: 59 itemised</t>
        </is>
      </c>
      <c r="D11" s="2" t="inlineStr">
        <is>
          <t>WhatsApp #45: 45 + 2 + 13 = 60 → 15 baby boxes (sheet 14)</t>
        </is>
      </c>
      <c r="E11" s="2" t="inlineStr">
        <is>
          <t>Screenshot 3/3; Truck March (def.)</t>
        </is>
      </c>
      <c r="F11" s="2" t="inlineStr">
        <is>
          <t>Sheet's '14' baby is the likely error</t>
        </is>
      </c>
      <c r="G11" s="2" t="inlineStr">
        <is>
          <t>ADDITION</t>
        </is>
      </c>
      <c r="H11" s="2" t="inlineStr">
        <is>
          <t>ROB-rec0W2XImFq9vN3CP</t>
        </is>
      </c>
    </row>
    <row r="12">
      <c r="A12" s="2" t="inlineStr">
        <is>
          <t>Mar</t>
        </is>
      </c>
      <c r="B12" s="2" t="inlineStr">
        <is>
          <t>H4U pallets 7,8,11,15,19,32</t>
        </is>
      </c>
      <c r="C12" s="2" t="inlineStr">
        <is>
          <t>Kees: from H4U tab</t>
        </is>
      </c>
      <c r="D12" s="2" t="inlineStr">
        <is>
          <t>15 and 32 confirmed by WhatsApp #39/#40; 7,8,11,19 unverified (no H4U tab supplied); #43 = one of them</t>
        </is>
      </c>
      <c r="E12" s="2" t="inlineStr">
        <is>
          <t>Screenshots; Truck March (def.)</t>
        </is>
      </c>
      <c r="F12" s="2" t="inlineStr">
        <is>
          <t>H4U tab not in uploaded file</t>
        </is>
      </c>
      <c r="G12" s="2" t="inlineStr">
        <is>
          <t>QUALIFICATION</t>
        </is>
      </c>
      <c r="H12" s="2" t="inlineStr">
        <is>
          <t>ROB-recB37f26Q14iwW6a</t>
        </is>
      </c>
    </row>
    <row r="13">
      <c r="A13" s="2" t="inlineStr">
        <is>
          <t>Mar</t>
        </is>
      </c>
      <c r="B13" s="2" t="inlineStr">
        <is>
          <t>Pallet 505 kg (NR P1) split 404/101</t>
        </is>
      </c>
      <c r="C13" s="2" t="inlineStr">
        <is>
          <t>Kees Open_Items: hand-split</t>
        </is>
      </c>
      <c r="D13" s="2" t="inlineStr">
        <is>
          <t>Identical to Jan working-sheet pallet 12 (48 food + 8 clothing) — carry-over</t>
        </is>
      </c>
      <c r="E13" s="2" t="inlineStr">
        <is>
          <t>Truck January xlsx; Truck March (def.)</t>
        </is>
      </c>
      <c r="F13" s="2" t="inlineStr">
        <is>
          <t>Provenance found; weight split still assumption</t>
        </is>
      </c>
      <c r="G13" s="2" t="inlineStr">
        <is>
          <t>ADDITION</t>
        </is>
      </c>
      <c r="H13" s="2" t="inlineStr">
        <is>
          <t>ROB-recQHyIOyozXotKBh</t>
        </is>
      </c>
    </row>
    <row r="14">
      <c r="A14" s="2" t="inlineStr">
        <is>
          <t>Mar</t>
        </is>
      </c>
      <c r="B14" s="2" t="inlineStr">
        <is>
          <t>Incontinence 275/276</t>
        </is>
      </c>
      <c r="C14" s="2" t="inlineStr">
        <is>
          <t>—</t>
        </is>
      </c>
      <c r="D14" s="2" t="inlineStr">
        <is>
          <t>Jan working-sheet pallet 22 (24 incontinence, 275) carried into March</t>
        </is>
      </c>
      <c r="E14" s="2" t="inlineStr">
        <is>
          <t>Truck January xlsx</t>
        </is>
      </c>
      <c r="F14" s="2" t="inlineStr">
        <is>
          <t>—</t>
        </is>
      </c>
      <c r="G14" s="2" t="inlineStr">
        <is>
          <t>ADDITION</t>
        </is>
      </c>
      <c r="H14" s="2" t="inlineStr">
        <is>
          <t>ROB-recQHyIOyozXotKBh</t>
        </is>
      </c>
    </row>
    <row r="15">
      <c r="A15" s="2" t="inlineStr">
        <is>
          <t>Apr</t>
        </is>
      </c>
      <c r="B15" s="2" t="inlineStr">
        <is>
          <t>Mission 35</t>
        </is>
      </c>
      <c r="C15" s="2" t="inlineStr">
        <is>
          <t>Kees: 686 kg; James 630 'two ambulances delivery'</t>
        </is>
      </c>
      <c r="D15" s="2" t="inlineStr">
        <is>
          <t>Retained; James omits clothing 30 and bar boxes 24; ambulances unquantified</t>
        </is>
      </c>
      <c r="E15" s="2" t="inlineStr">
        <is>
          <t>Kees note; James workbook</t>
        </is>
      </c>
      <c r="F15" s="2" t="inlineStr">
        <is>
          <t>—</t>
        </is>
      </c>
      <c r="G15" s="2" t="inlineStr">
        <is>
          <t>RETAINED + OPEN (ambulances)</t>
        </is>
      </c>
      <c r="H15" s="2" t="inlineStr">
        <is>
          <t>ROB-recR0aCTKpJQY7a1T</t>
        </is>
      </c>
    </row>
    <row r="16">
      <c r="A16" s="2" t="inlineStr">
        <is>
          <t>May</t>
        </is>
      </c>
      <c r="B16" s="2" t="inlineStr">
        <is>
          <t>Totals</t>
        </is>
      </c>
      <c r="C16" s="2" t="inlineStr">
        <is>
          <t>Kees: 20 pallets 10,210 kg</t>
        </is>
      </c>
      <c r="D16" s="2" t="inlineStr">
        <is>
          <t>Confirmed; HW 16/8,700, NR 4/1,510</t>
        </is>
      </c>
      <c r="E16" s="2" t="inlineStr">
        <is>
          <t>Def. Truck May</t>
        </is>
      </c>
      <c r="F16" s="2" t="inlineStr">
        <is>
          <t>—</t>
        </is>
      </c>
      <c r="G16" s="2" t="inlineStr">
        <is>
          <t>RETAINED</t>
        </is>
      </c>
      <c r="H16" s="2" t="inlineStr">
        <is>
          <t>ROB-recQVOExvYChyUyHG</t>
        </is>
      </c>
    </row>
    <row r="17">
      <c r="A17" s="2" t="inlineStr">
        <is>
          <t>May</t>
        </is>
      </c>
      <c r="B17" s="2" t="inlineStr">
        <is>
          <t>Loose bedding 50×6=300</t>
        </is>
      </c>
      <c r="C17" s="2" t="inlineStr">
        <is>
          <t>Kees Correction #6</t>
        </is>
      </c>
      <c r="D17" s="2" t="inlineStr">
        <is>
          <t>Sheet says '6'; category total requires 300</t>
        </is>
      </c>
      <c r="E17" s="2" t="inlineStr">
        <is>
          <t>Def. Truck May</t>
        </is>
      </c>
      <c r="F17" s="2" t="inlineStr">
        <is>
          <t>—</t>
        </is>
      </c>
      <c r="G17" s="2" t="inlineStr">
        <is>
          <t>RETAINED</t>
        </is>
      </c>
      <c r="H17" s="2" t="inlineStr">
        <is>
          <t>ROB-recQVOExvYChyUyHG</t>
        </is>
      </c>
    </row>
    <row r="18">
      <c r="A18" s="2" t="inlineStr">
        <is>
          <t>May</t>
        </is>
      </c>
      <c r="B18" s="2" t="inlineStr">
        <is>
          <t>Pallet 11 = Jan pallet 10</t>
        </is>
      </c>
      <c r="C18" s="2" t="inlineStr">
        <is>
          <t>Kees Correction #12</t>
        </is>
      </c>
      <c r="D18" s="2" t="inlineStr">
        <is>
          <t>Confirmed (20 baby 342 kg)</t>
        </is>
      </c>
      <c r="E18" s="2" t="inlineStr">
        <is>
          <t>Truck January xlsx; Def. Truck May</t>
        </is>
      </c>
      <c r="F18" s="2" t="inlineStr">
        <is>
          <t>—</t>
        </is>
      </c>
      <c r="G18" s="2" t="inlineStr">
        <is>
          <t>RETAINED</t>
        </is>
      </c>
      <c r="H18" s="2" t="inlineStr">
        <is>
          <t>ROB-recQHyIOyozXotKBh</t>
        </is>
      </c>
    </row>
    <row r="19">
      <c r="A19" s="2" t="inlineStr">
        <is>
          <t>May</t>
        </is>
      </c>
      <c r="B19" s="2" t="inlineStr">
        <is>
          <t>James Baby 947 vs Kees 1,450 (+503)</t>
        </is>
      </c>
      <c r="C19" s="2" t="inlineStr">
        <is>
          <t>Kees Comparison</t>
        </is>
      </c>
      <c r="D19" s="2" t="inlineStr">
        <is>
          <t>HW incontinence 503 has no visible line in James's May; NR hygiene 572 counted twice (in medical 1,510 and Donetsk hygiene 572)</t>
        </is>
      </c>
      <c r="E19" s="2" t="inlineStr">
        <is>
          <t>Def. Truck May; James workbook</t>
        </is>
      </c>
      <c r="F19" s="2" t="inlineStr">
        <is>
          <t>Offsetting errors in James's May tab</t>
        </is>
      </c>
      <c r="G19" s="2" t="inlineStr">
        <is>
          <t>CORRECTION to James (pending his confirmation)</t>
        </is>
      </c>
      <c r="H19" s="2" t="inlineStr">
        <is>
          <t>ROB-recFkYkFT1rMJPJ6n</t>
        </is>
      </c>
    </row>
    <row r="20">
      <c r="A20" s="2" t="inlineStr">
        <is>
          <t>May</t>
        </is>
      </c>
      <c r="B20" s="2" t="inlineStr">
        <is>
          <t>Mission 36 507 kg</t>
        </is>
      </c>
      <c r="C20" s="2" t="inlineStr">
        <is>
          <t>Kees</t>
        </is>
      </c>
      <c r="D20" s="2" t="inlineStr">
        <is>
          <t>Retained</t>
        </is>
      </c>
      <c r="E20" s="2" t="inlineStr">
        <is>
          <t>Kees note</t>
        </is>
      </c>
      <c r="F20" s="2" t="inlineStr">
        <is>
          <t>—</t>
        </is>
      </c>
      <c r="G20" s="2" t="inlineStr">
        <is>
          <t>RETAINED</t>
        </is>
      </c>
      <c r="H20" s="2" t="inlineStr">
        <is>
          <t>ROB-recjIzGNdwLJfju2W</t>
        </is>
      </c>
    </row>
    <row r="21">
      <c r="A21" s="2" t="inlineStr">
        <is>
          <t>Jun</t>
        </is>
      </c>
      <c r="B21" s="2" t="inlineStr">
        <is>
          <t>Total 7,570.5 vs James 7,718 (+147.5)</t>
        </is>
      </c>
      <c r="C21" s="2" t="inlineStr">
        <is>
          <t>Kees: suspected duplicate 148 kg SU-0011 Lifeline</t>
        </is>
      </c>
      <c r="D21" s="2" t="inlineStr">
        <is>
          <t>DEMONSTRATED: 2,735 + 288 = 3,023 (Donetsk food) and Lifeline 193 again → 148 twice</t>
        </is>
      </c>
      <c r="E21" s="2" t="inlineStr">
        <is>
          <t>Manifest SHI-0002 Total; James workbook</t>
        </is>
      </c>
      <c r="F21" s="2" t="inlineStr">
        <is>
          <t>—</t>
        </is>
      </c>
      <c r="G21" s="2" t="inlineStr">
        <is>
          <t>CORRECTION to James (arithmetic)</t>
        </is>
      </c>
      <c r="H21" s="2" t="inlineStr">
        <is>
          <t>ROB-recefuxSdBFM8PkuY</t>
        </is>
      </c>
    </row>
    <row r="22">
      <c r="A22" s="2" t="inlineStr">
        <is>
          <t>Jun</t>
        </is>
      </c>
      <c r="B22" s="2" t="inlineStr">
        <is>
          <t>Date 24 vs 25 Jun</t>
        </is>
      </c>
      <c r="C22" s="2" t="inlineStr">
        <is>
          <t>Kees: manifest 24 Jun; James 'June 25'</t>
        </is>
      </c>
      <c r="D22" s="2" t="inlineStr">
        <is>
          <t>Manifest pickup/dispatch 24.06.2026; invoice email 'geladen op 24 juni'</t>
        </is>
      </c>
      <c r="E22" s="2" t="inlineStr">
        <is>
          <t>Manifest; Gmail 19f3733ade8be4d1</t>
        </is>
      </c>
      <c r="F22" s="2" t="inlineStr">
        <is>
          <t>James's 25 Jun = likely arrival/next day; not established</t>
        </is>
      </c>
      <c r="G22" s="2" t="inlineStr">
        <is>
          <t>RETAINED (24 Jun loading)</t>
        </is>
      </c>
      <c r="H22" s="2" t="inlineStr">
        <is>
          <t>ROB-recOiUWgo6VxgCpGs</t>
        </is>
      </c>
    </row>
    <row r="23">
      <c r="A23" s="2" t="inlineStr">
        <is>
          <t>Jun</t>
        </is>
      </c>
      <c r="B23" s="2" t="inlineStr">
        <is>
          <t>Recipients Salim/Lifeline vs regions</t>
        </is>
      </c>
      <c r="C23" s="2" t="inlineStr">
        <is>
          <t>Kees: consignee-based</t>
        </is>
      </c>
      <c r="D23" s="2" t="inlineStr">
        <is>
          <t>James: HW→Kharkiv; Salim+Lifeline→Donetsk; destination Zhytomyr/Makariv</t>
        </is>
      </c>
      <c r="E23" s="2" t="inlineStr">
        <is>
          <t>Manifest; James workbook</t>
        </is>
      </c>
      <c r="F23" s="2" t="inlineStr">
        <is>
          <t>Region label does not match physical destination</t>
        </is>
      </c>
      <c r="G23" s="2" t="inlineStr">
        <is>
          <t>QUALIFICATION</t>
        </is>
      </c>
      <c r="H23" s="2" t="inlineStr">
        <is>
          <t>ROB-rec2SXYOAnOati9oQ</t>
        </is>
      </c>
    </row>
    <row r="24">
      <c r="A24" s="2" t="inlineStr">
        <is>
          <t>Jul</t>
        </is>
      </c>
      <c r="B24" s="2" t="inlineStr">
        <is>
          <t>SHI-0001</t>
        </is>
      </c>
      <c r="C24" s="2" t="inlineStr">
        <is>
          <t>Kees Shipments: '~9,300+ kg'; James: zero</t>
        </is>
      </c>
      <c r="D24" s="2" t="inlineStr">
        <is>
          <t>Declared 15,260 kg palletised + 510 loose; dispatched 4 Jul</t>
        </is>
      </c>
      <c r="E24" s="2" t="inlineStr">
        <is>
          <t>Manifest SHI-0001 (+detail); Gmail; Slack</t>
        </is>
      </c>
      <c r="F24" s="2" t="inlineStr">
        <is>
          <t>Kees understated; James not yet reported</t>
        </is>
      </c>
      <c r="G24" s="2" t="inlineStr">
        <is>
          <t>CORRECTION to Kees; ADDITION vs James</t>
        </is>
      </c>
      <c r="H24" s="2" t="inlineStr">
        <is>
          <t>ROB-rec5K5YO2pTOqSbFb; ROB-recctSkY9s9OWX9N2</t>
        </is>
      </c>
    </row>
    <row r="25">
      <c r="A25" s="2" t="inlineStr">
        <is>
          <t>Jul</t>
        </is>
      </c>
      <c r="B25" s="2" t="inlineStr">
        <is>
          <t>Mission 37</t>
        </is>
      </c>
      <c r="C25" s="2" t="inlineStr">
        <is>
          <t>Kees: no folder</t>
        </is>
      </c>
      <c r="D25" s="2">
        <f> the 4 July truck journey; number reused for camp fundraising</f>
        <v/>
      </c>
      <c r="E25" s="2" t="inlineStr">
        <is>
          <t>Slack group DM; #logistics; James workbook header</t>
        </is>
      </c>
      <c r="F25" s="2" t="inlineStr">
        <is>
          <t>—</t>
        </is>
      </c>
      <c r="G25" s="2" t="inlineStr">
        <is>
          <t>ADDITION (terminology)</t>
        </is>
      </c>
      <c r="H25" s="2" t="inlineStr">
        <is>
          <t>ROB-recDmbeTI4kj1LGMs</t>
        </is>
      </c>
    </row>
    <row r="26">
      <c r="A26" s="2" t="inlineStr">
        <is>
          <t>Jul</t>
        </is>
      </c>
      <c r="B26" s="2" t="inlineStr">
        <is>
          <t>Mission 38 525 kg</t>
        </is>
      </c>
      <c r="C26" s="2" t="inlineStr">
        <is>
          <t>Kees</t>
        </is>
      </c>
      <c r="D26" s="2" t="inlineStr">
        <is>
          <t>Retained</t>
        </is>
      </c>
      <c r="E26" s="2" t="inlineStr">
        <is>
          <t>Kees note</t>
        </is>
      </c>
      <c r="F26" s="2" t="inlineStr">
        <is>
          <t>—</t>
        </is>
      </c>
      <c r="G26" s="2" t="inlineStr">
        <is>
          <t>RETAINED</t>
        </is>
      </c>
      <c r="H26" s="2" t="inlineStr">
        <is>
          <t>ROB-recj1ALxy6QQ0ajdE</t>
        </is>
      </c>
    </row>
    <row r="27">
      <c r="A27" s="2" t="inlineStr">
        <is>
          <t>Aug</t>
        </is>
      </c>
      <c r="B27" s="2" t="inlineStr">
        <is>
          <t>SHI-0003</t>
        </is>
      </c>
      <c r="C27" s="2" t="inlineStr">
        <is>
          <t>Kees: not in reconstruction (title Jan–Jun); James: zero</t>
        </is>
      </c>
      <c r="D27" s="2" t="inlineStr">
        <is>
          <t>Declared 10,290 kg (HW 8,779; NR 1,511); list 20 Aug; CMR stamping 14–18 Aug</t>
        </is>
      </c>
      <c r="E27" s="2" t="inlineStr">
        <is>
          <t>Loading list; Gmail 19ef5524fa59492e</t>
        </is>
      </c>
      <c r="F27" s="2" t="inlineStr">
        <is>
          <t>Departure date not established</t>
        </is>
      </c>
      <c r="G27" s="2" t="inlineStr">
        <is>
          <t>ADDITION</t>
        </is>
      </c>
      <c r="H27" s="2" t="inlineStr">
        <is>
          <t>ROB-recIOT2vNEsqCjJFp</t>
        </is>
      </c>
    </row>
    <row r="28">
      <c r="A28" s="2" t="inlineStr">
        <is>
          <t>Aug</t>
        </is>
      </c>
      <c r="B28" s="2" t="inlineStr">
        <is>
          <t>Mission 39 1,286 kg</t>
        </is>
      </c>
      <c r="C28" s="2" t="inlineStr">
        <is>
          <t>—</t>
        </is>
      </c>
      <c r="D28" s="2" t="inlineStr">
        <is>
          <t>Loading list 20 Aug</t>
        </is>
      </c>
      <c r="E28" s="2" t="inlineStr">
        <is>
          <t>Mission_39_Loading_List.pdf</t>
        </is>
      </c>
      <c r="F28" s="2" t="inlineStr">
        <is>
          <t>—</t>
        </is>
      </c>
      <c r="G28" s="2" t="inlineStr">
        <is>
          <t>ADDITION</t>
        </is>
      </c>
      <c r="H28" s="2" t="inlineStr">
        <is>
          <t>ROB-recFHukYf2JtvL0Ak</t>
        </is>
      </c>
    </row>
    <row r="29">
      <c r="A29" s="2" t="inlineStr">
        <is>
          <t>Total</t>
        </is>
      </c>
      <c r="B29" s="2" t="inlineStr">
        <is>
          <t>Jan–Jun Total tab mismatch</t>
        </is>
      </c>
      <c r="C29" s="2" t="inlineStr">
        <is>
          <t>Kees: clothing € 37,593 vs 41,533; baby 44,940 vs 45,360</t>
        </is>
      </c>
      <c r="D29" s="2" t="inlineStr">
        <is>
          <t>Confirmed at cell level; kg reconcile</t>
        </is>
      </c>
      <c r="E29" s="2" t="inlineStr">
        <is>
          <t>James workbook</t>
        </is>
      </c>
      <c r="F29" s="2" t="inlineStr">
        <is>
          <t>—</t>
        </is>
      </c>
      <c r="G29" s="2" t="inlineStr">
        <is>
          <t>RETAINED</t>
        </is>
      </c>
      <c r="H29" s="2" t="inlineStr">
        <is>
          <t>ROB-recTCK3iNLxzUljHh</t>
        </is>
      </c>
    </row>
    <row r="30">
      <c r="A30" s="2" t="inlineStr">
        <is>
          <t>All</t>
        </is>
      </c>
      <c r="B30" s="2" t="inlineStr">
        <is>
          <t>Sender address</t>
        </is>
      </c>
      <c r="C30" s="2" t="inlineStr">
        <is>
          <t>—</t>
        </is>
      </c>
      <c r="D30" s="2" t="inlineStr">
        <is>
          <t>Meidoornweg (Jan–May) → Lutmanstraat (Jun–Aug)</t>
        </is>
      </c>
      <c r="E30" s="2" t="inlineStr">
        <is>
          <t>All truck documents</t>
        </is>
      </c>
      <c r="F30" s="2" t="inlineStr">
        <is>
          <t>Cause not established</t>
        </is>
      </c>
      <c r="G30" s="2" t="inlineStr">
        <is>
          <t>ADDITION</t>
        </is>
      </c>
      <c r="H30" s="2" t="inlineStr">
        <is>
          <t>ROB-recXJEqaQUWu2GHBi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0" customWidth="1" min="2" max="2"/>
    <col width="40" customWidth="1" min="3" max="3"/>
  </cols>
  <sheetData>
    <row r="1">
      <c r="A1" s="1" t="inlineStr">
        <is>
          <t>source_or_source_group</t>
        </is>
      </c>
      <c r="B1" s="1" t="inlineStr">
        <is>
          <t>status</t>
        </is>
      </c>
      <c r="C1" s="1" t="inlineStr">
        <is>
          <t>note</t>
        </is>
      </c>
    </row>
    <row r="2">
      <c r="A2" s="2" t="inlineStr">
        <is>
          <t>Kees upload — Jan/Mar/May/Jun/Jul/Aug key documents, mission notes, James's workbook</t>
        </is>
      </c>
      <c r="B2" s="2" t="inlineStr">
        <is>
          <t>processed</t>
        </is>
      </c>
      <c r="C2" s="2" t="inlineStr">
        <is>
          <t>See Evidence tab</t>
        </is>
      </c>
    </row>
    <row r="3">
      <c r="A3" s="2" t="inlineStr">
        <is>
          <t>Kees upload — CMR PDFs/xls (Jan, Mar, May, Jul, Aug); working May sheets; June per-consignee manifests and detail xlsx; July Airtable box-level extract; Aug detailed contents, photos (17), README.txt, 80 MB zip; WE estimate; Medical equipment sent</t>
        </is>
      </c>
      <c r="B3" s="2" t="inlineStr">
        <is>
          <t>uploaded, not yet read</t>
        </is>
      </c>
      <c r="C3" s="2" t="inlineStr">
        <is>
          <t>Next pass</t>
        </is>
      </c>
    </row>
    <row r="4">
      <c r="A4" s="2" t="inlineStr">
        <is>
          <t>Kees's reconstruction workbook (9 tabs)</t>
        </is>
      </c>
      <c r="B4" s="2" t="inlineStr">
        <is>
          <t>processed (chat-attached copy)</t>
        </is>
      </c>
      <c r="C4" s="2" t="inlineStr">
        <is>
          <t>Native Sheet revisions not inspected</t>
        </is>
      </c>
    </row>
    <row r="5">
      <c r="A5" s="2" t="inlineStr">
        <is>
          <t>James's reporting workbook (uploaded copy 15 Sep)</t>
        </is>
      </c>
      <c r="B5" s="2" t="inlineStr">
        <is>
          <t>processed</t>
        </is>
      </c>
      <c r="C5" s="2" t="inlineStr">
        <is>
          <t>Native Sheet + XLSX copy + 2025 workbook not compared; revision lineage open</t>
        </is>
      </c>
    </row>
    <row r="6">
      <c r="A6" s="2" t="inlineStr">
        <is>
          <t>Anja's non-private Slack export</t>
        </is>
      </c>
      <c r="B6" s="2" t="inlineStr">
        <is>
          <t>not supplied (Evidence folder empty of it)</t>
        </is>
      </c>
      <c r="C6" s="2" t="inlineStr">
        <is>
          <t>Expected</t>
        </is>
      </c>
    </row>
    <row r="7">
      <c r="A7" s="2" t="inlineStr">
        <is>
          <t>Live Slack — targeted searches (Lithuania, mattresses, truck Jan–Feb, mission 37); DM lead-ins</t>
        </is>
      </c>
      <c r="B7" s="2" t="inlineStr">
        <is>
          <t>processed (search-bounded)</t>
        </is>
      </c>
      <c r="C7" s="2" t="inlineStr">
        <is>
          <t>Full channel/DM histories not read; ts values not captured</t>
        </is>
      </c>
    </row>
    <row r="8">
      <c r="A8" s="2" t="inlineStr">
        <is>
          <t>Slack huddles — 16 Sep Anja–Kees (F0C2F1HL7L1/F0C2B53A99U)</t>
        </is>
      </c>
      <c r="B8" s="2" t="inlineStr">
        <is>
          <t>unavailable/not processed</t>
        </is>
      </c>
      <c r="C8" s="2" t="inlineStr">
        <is>
          <t>MTG-recyjk7pw22V74PCg</t>
        </is>
      </c>
    </row>
    <row r="9">
      <c r="A9" s="2" t="inlineStr">
        <is>
          <t>Slack huddles — 15 Sep James–Kees</t>
        </is>
      </c>
      <c r="B9" s="2" t="inlineStr">
        <is>
          <t>discovered, not processed</t>
        </is>
      </c>
      <c r="C9" s="2" t="inlineStr">
        <is>
          <t>MTG-recy7M3QAvanje7MP</t>
        </is>
      </c>
    </row>
    <row r="10">
      <c r="A10" s="2" t="inlineStr">
        <is>
          <t>Slack huddles — 10 huddles registered in RUN-rechGOzgthgfAGzZu</t>
        </is>
      </c>
      <c r="B10" s="2" t="inlineStr">
        <is>
          <t>not re-assessed for goods content</t>
        </is>
      </c>
      <c r="C10" s="2" t="inlineStr">
        <is>
          <t>Cross-link pending</t>
        </is>
      </c>
    </row>
    <row r="11">
      <c r="A11" s="2" t="inlineStr">
        <is>
          <t>Gmail kees@ — 3 threads (Van der Donk paperwork; June invoice; CMR stamping)</t>
        </is>
      </c>
      <c r="B11" s="2" t="inlineStr">
        <is>
          <t>snippet-level</t>
        </is>
      </c>
      <c r="C11" s="2" t="inlineStr">
        <is>
          <t>Bodies/attachments not opened</t>
        </is>
      </c>
    </row>
    <row r="12">
      <c r="A12" s="2" t="inlineStr">
        <is>
          <t>WhatsApp exports (Bas, James, warehouse, drivers, donors, partners)</t>
        </is>
      </c>
      <c r="B12" s="2" t="inlineStr">
        <is>
          <t>not supplied</t>
        </is>
      </c>
      <c r="C12" s="2" t="inlineStr">
        <is>
          <t>Kees-held</t>
        </is>
      </c>
    </row>
    <row r="13">
      <c r="A13" s="2" t="inlineStr">
        <is>
          <t>Shipment sheets for James Truck 1 / 3 / 4 (Lithuania)</t>
        </is>
      </c>
      <c r="B13" s="2" t="inlineStr">
        <is>
          <t>not supplied</t>
        </is>
      </c>
      <c r="C13" s="2" t="inlineStr">
        <is>
          <t>James-held</t>
        </is>
      </c>
    </row>
    <row r="14">
      <c r="A14" s="2" t="inlineStr">
        <is>
          <t>Mission 33 loading list; March H4U tab; original Claude chats</t>
        </is>
      </c>
      <c r="B14" s="2" t="inlineStr">
        <is>
          <t>not supplied</t>
        </is>
      </c>
      <c r="C14" s="2" t="inlineStr">
        <is>
          <t>Kees-held</t>
        </is>
      </c>
    </row>
    <row r="15">
      <c r="A15" s="2" t="inlineStr">
        <is>
          <t>Airtable legacy 3 | ACTIVE LOGISTICS (appK7t991PYJ2u0DO) SHI records</t>
        </is>
      </c>
      <c r="B15" s="2" t="inlineStr">
        <is>
          <t>not read (legitimate on explicit request)</t>
        </is>
      </c>
      <c r="C15" s="2" t="inlineStr">
        <is>
          <t>Next pass</t>
        </is>
      </c>
    </row>
    <row r="16">
      <c r="A16" s="2" t="inlineStr">
        <is>
          <t>Airtable production DCA Warehouse &amp; Logistics (appivZyJTh5tQv1On) — goods still in warehouse</t>
        </is>
      </c>
      <c r="B16" s="2" t="inlineStr">
        <is>
          <t>not read</t>
        </is>
      </c>
      <c r="C16" s="2" t="inlineStr">
        <is>
          <t>Next pass</t>
        </is>
      </c>
    </row>
    <row r="17">
      <c r="A17" s="2" t="inlineStr">
        <is>
          <t>Asana</t>
        </is>
      </c>
      <c r="B17" s="2" t="inlineStr">
        <is>
          <t>not searched</t>
        </is>
      </c>
      <c r="C17" s="2" t="inlineStr">
        <is>
          <t>—</t>
        </is>
      </c>
    </row>
    <row r="18">
      <c r="A18" s="2" t="inlineStr">
        <is>
          <t>GitHub method files (dca-ai, dca-architecture)</t>
        </is>
      </c>
      <c r="B18" s="2" t="inlineStr">
        <is>
          <t>read via project knowledge (main, 17 Sep); SHAs not exposed</t>
        </is>
      </c>
      <c r="C18" s="2" t="inlineStr">
        <is>
          <t>Prompt revisions d7a98826/985ff937 unverified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0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who_knows</t>
        </is>
      </c>
      <c r="C1" s="1" t="inlineStr">
        <is>
          <t>question (only after evidence)</t>
        </is>
      </c>
      <c r="D1" s="1" t="inlineStr">
        <is>
          <t>objects</t>
        </is>
      </c>
    </row>
    <row r="2">
      <c r="A2" s="2" t="inlineStr">
        <is>
          <t>Q1</t>
        </is>
      </c>
      <c r="B2" s="2" t="inlineStr">
        <is>
          <t>James</t>
        </is>
      </c>
      <c r="C2" s="2" t="inlineStr">
        <is>
          <t>Trucks 1 (9 Jan), 3 (28 Jan), 4 (11 Feb): how many trucks, from where (Lithuania?), what goods, what weights? Your tabs carry 32,000 + 16,000 kg 'Medical'. Kees believes mattresses. Please supply the shipment sheets/CMRs.</t>
        </is>
      </c>
      <c r="D2" s="2" t="inlineStr">
        <is>
          <t>ROB-rec3LncyByihvWJ7w; ROB-recO2rSGDV2NHLlFu</t>
        </is>
      </c>
    </row>
    <row r="3">
      <c r="A3" s="2" t="inlineStr">
        <is>
          <t>Q2</t>
        </is>
      </c>
      <c r="B3" s="2" t="inlineStr">
        <is>
          <t>James / Kees</t>
        </is>
      </c>
      <c r="C3" s="2" t="inlineStr">
        <is>
          <t>Mission 33 (armoured van): date, what was loaded (the January sheet puts 24 boxes of medical supplies in it; Kees recalls mostly clothing), and was this the van Lieke said Bohdan received by 23 Jan or a second van?</t>
        </is>
      </c>
      <c r="D3" s="2" t="inlineStr">
        <is>
          <t>ROB-recqfCoNgY3BgXINx; ROB-reckOFPCVHjlD6KJF</t>
        </is>
      </c>
    </row>
    <row r="4">
      <c r="A4" s="2" t="inlineStr">
        <is>
          <t>Q3</t>
        </is>
      </c>
      <c r="B4" s="2" t="inlineStr">
        <is>
          <t>James</t>
        </is>
      </c>
      <c r="C4" s="2" t="inlineStr">
        <is>
          <t>June: your Donetsk food 3,023 equals Salim food 2,735 + the whole of split pallet SU-0011 (288), and the 148 kg monitors also sit in house goods 193. Confirm the 148 kg is counted twice.</t>
        </is>
      </c>
      <c r="D4" s="2" t="inlineStr">
        <is>
          <t>ROB-recefuxSdBFM8PkuY</t>
        </is>
      </c>
    </row>
    <row r="5">
      <c r="A5" s="2" t="inlineStr">
        <is>
          <t>Q4</t>
        </is>
      </c>
      <c r="B5" s="2" t="inlineStr">
        <is>
          <t>James</t>
        </is>
      </c>
      <c r="C5" s="2" t="inlineStr">
        <is>
          <t>May: your Kharkiv medical 1,510 is the whole NR CMR (incl. 572 kg hygiene) and Donetsk hygiene 572 repeats it; HW incontinence 503 kg has no line. Confirm how you built May.</t>
        </is>
      </c>
      <c r="D5" s="2" t="inlineStr">
        <is>
          <t>ROB-recFkYkFT1rMJPJ6n</t>
        </is>
      </c>
    </row>
    <row r="6">
      <c r="A6" s="2" t="inlineStr">
        <is>
          <t>Q5</t>
        </is>
      </c>
      <c r="B6" s="2" t="inlineStr">
        <is>
          <t>Kees</t>
        </is>
      </c>
      <c r="C6" s="2" t="inlineStr">
        <is>
          <t>March H4U pallets: notes confirm 15 and 32. Were 7, 8, 11 and 19 H4U? Which one is note #43? Can you supply the H4U tab?</t>
        </is>
      </c>
      <c r="D6" s="2" t="inlineStr">
        <is>
          <t>ROB-recB37f26Q14iwW6a; ROB-rec0W2XImFq9vN3CP</t>
        </is>
      </c>
    </row>
    <row r="7">
      <c r="A7" s="2" t="inlineStr">
        <is>
          <t>Q6</t>
        </is>
      </c>
      <c r="B7" s="2" t="inlineStr">
        <is>
          <t>Kees</t>
        </is>
      </c>
      <c r="C7" s="2" t="inlineStr">
        <is>
          <t>Did planned January pallets 12 (505 kg Schoolfruit+clothing), 22 (24 incontinence) and 10 (20 baby) physically stay in the warehouse and ship in March/May unchanged?</t>
        </is>
      </c>
      <c r="D7" s="2" t="inlineStr">
        <is>
          <t>ROB-recQHyIOyozXotKBh</t>
        </is>
      </c>
    </row>
    <row r="8">
      <c r="A8" s="2" t="inlineStr">
        <is>
          <t>Q7</t>
        </is>
      </c>
      <c r="B8" s="2" t="inlineStr">
        <is>
          <t>James</t>
        </is>
      </c>
      <c r="C8" s="2" t="inlineStr">
        <is>
          <t>July (SHI-0001, 15,260 kg + 510 loose) and August (SHI-0003, 10,290 kg): not in your workbook. Are these to be reported, and when did SHI-0003 depart?</t>
        </is>
      </c>
      <c r="D8" s="2" t="inlineStr">
        <is>
          <t>ROB-recctSkY9s9OWX9N2; ROB-recIOT2vNEsqCjJFp</t>
        </is>
      </c>
    </row>
    <row r="9">
      <c r="A9" s="2" t="inlineStr">
        <is>
          <t>Q8</t>
        </is>
      </c>
      <c r="B9" s="2" t="inlineStr">
        <is>
          <t>James</t>
        </is>
      </c>
      <c r="C9" s="2" t="inlineStr">
        <is>
          <t>Mission 35 'two ambulances delivery': were ambulances delivered on 6–17 Apr, and are they to be counted as goods?</t>
        </is>
      </c>
      <c r="D9" s="2" t="inlineStr">
        <is>
          <t>ROB-recR0aCTKpJQY7a1T</t>
        </is>
      </c>
    </row>
    <row r="10">
      <c r="A10" s="2" t="inlineStr">
        <is>
          <t>Q9</t>
        </is>
      </c>
      <c r="B10" s="2" t="inlineStr">
        <is>
          <t>Kees / James</t>
        </is>
      </c>
      <c r="C10" s="2" t="inlineStr">
        <is>
          <t>Sender address changed from Meidoornweg to Lutmanstraat between May and June: registered-address change, template, or warehouse move?</t>
        </is>
      </c>
      <c r="D10" s="2" t="inlineStr">
        <is>
          <t>ROB-recXJEqaQUWu2GHBi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object_id</t>
        </is>
      </c>
      <c r="B1" s="1" t="inlineStr">
        <is>
          <t>display_name</t>
        </is>
      </c>
    </row>
    <row r="2">
      <c r="A2" s="2" t="inlineStr">
        <is>
          <t>ROB-rec1A3tgId8npy6eE</t>
        </is>
      </c>
      <c r="B2" s="2" t="inlineStr">
        <is>
          <t>G-01 January truck</t>
        </is>
      </c>
    </row>
    <row r="3">
      <c r="A3" s="2" t="inlineStr">
        <is>
          <t>ROB-recclQ34CTtgzne9g</t>
        </is>
      </c>
      <c r="B3" s="2" t="inlineStr">
        <is>
          <t>G-02 Jan food gap artefact</t>
        </is>
      </c>
    </row>
    <row r="4">
      <c r="A4" s="2" t="inlineStr">
        <is>
          <t>ROB-recQHyIOyozXotKBh</t>
        </is>
      </c>
      <c r="B4" s="2" t="inlineStr">
        <is>
          <t>G-03 Jan pallets carried over</t>
        </is>
      </c>
    </row>
    <row r="5">
      <c r="A5" s="2" t="inlineStr">
        <is>
          <t>ROB-recqfCoNgY3BgXINx</t>
        </is>
      </c>
      <c r="B5" s="2" t="inlineStr">
        <is>
          <t>G-04 Mission 33 load</t>
        </is>
      </c>
    </row>
    <row r="6">
      <c r="A6" s="2" t="inlineStr">
        <is>
          <t>ROB-reckOFPCVHjlD6KJF</t>
        </is>
      </c>
      <c r="B6" s="2" t="inlineStr">
        <is>
          <t>G-05 Mission 33 timing</t>
        </is>
      </c>
    </row>
    <row r="7">
      <c r="A7" s="2" t="inlineStr">
        <is>
          <t>ROB-rec3LncyByihvWJ7w</t>
        </is>
      </c>
      <c r="B7" s="2" t="inlineStr">
        <is>
          <t>G-06 undocumented trucks</t>
        </is>
      </c>
    </row>
    <row r="8">
      <c r="A8" s="2" t="inlineStr">
        <is>
          <t>ROB-recO2rSGDV2NHLlFu</t>
        </is>
      </c>
      <c r="B8" s="2" t="inlineStr">
        <is>
          <t>G-07 undocumented trucks contents</t>
        </is>
      </c>
    </row>
    <row r="9">
      <c r="A9" s="2" t="inlineStr">
        <is>
          <t>ROB-rec2SXYOAnOati9oQ</t>
        </is>
      </c>
      <c r="B9" s="2" t="inlineStr">
        <is>
          <t>G-08 region convention</t>
        </is>
      </c>
    </row>
    <row r="10">
      <c r="A10" s="2" t="inlineStr">
        <is>
          <t>ROB-recl6gIk4jwSbqm6p</t>
        </is>
      </c>
      <c r="B10" s="2" t="inlineStr">
        <is>
          <t>G-09 March truck</t>
        </is>
      </c>
    </row>
    <row r="11">
      <c r="A11" s="2" t="inlineStr">
        <is>
          <t>ROB-recWORLSXcsZPpKOQ</t>
        </is>
      </c>
      <c r="B11" s="2" t="inlineStr">
        <is>
          <t>G-10 March sheet inconsistencies</t>
        </is>
      </c>
    </row>
    <row r="12">
      <c r="A12" s="2" t="inlineStr">
        <is>
          <t>ROB-rec0W2XImFq9vN3CP</t>
        </is>
      </c>
      <c r="B12" s="2" t="inlineStr">
        <is>
          <t>G-11 WhatsApp notes matched</t>
        </is>
      </c>
    </row>
    <row r="13">
      <c r="A13" s="2" t="inlineStr">
        <is>
          <t>ROB-recB37f26Q14iwW6a</t>
        </is>
      </c>
      <c r="B13" s="2" t="inlineStr">
        <is>
          <t>G-12 March H4U attribution</t>
        </is>
      </c>
    </row>
    <row r="14">
      <c r="A14" s="2" t="inlineStr">
        <is>
          <t>ROB-recnh2w8NfAksexUL</t>
        </is>
      </c>
      <c r="B14" s="2" t="inlineStr">
        <is>
          <t>G-13 Mission 34</t>
        </is>
      </c>
    </row>
    <row r="15">
      <c r="A15" s="2" t="inlineStr">
        <is>
          <t>ROB-recR0aCTKpJQY7a1T</t>
        </is>
      </c>
      <c r="B15" s="2" t="inlineStr">
        <is>
          <t>G-14 Mission 35</t>
        </is>
      </c>
    </row>
    <row r="16">
      <c r="A16" s="2" t="inlineStr">
        <is>
          <t>ROB-recQVOExvYChyUyHG</t>
        </is>
      </c>
      <c r="B16" s="2" t="inlineStr">
        <is>
          <t>G-15 May truck</t>
        </is>
      </c>
    </row>
    <row r="17">
      <c r="A17" s="2" t="inlineStr">
        <is>
          <t>ROB-recFkYkFT1rMJPJ6n</t>
        </is>
      </c>
      <c r="B17" s="2" t="inlineStr">
        <is>
          <t>G-16 May James double count</t>
        </is>
      </c>
    </row>
    <row r="18">
      <c r="A18" s="2" t="inlineStr">
        <is>
          <t>ROB-recjIzGNdwLJfju2W</t>
        </is>
      </c>
      <c r="B18" s="2" t="inlineStr">
        <is>
          <t>G-17 Mission 36</t>
        </is>
      </c>
    </row>
    <row r="19">
      <c r="A19" s="2" t="inlineStr">
        <is>
          <t>ROB-recOiUWgo6VxgCpGs</t>
        </is>
      </c>
      <c r="B19" s="2" t="inlineStr">
        <is>
          <t>G-18 June truck</t>
        </is>
      </c>
    </row>
    <row r="20">
      <c r="A20" s="2" t="inlineStr">
        <is>
          <t>ROB-recefuxSdBFM8PkuY</t>
        </is>
      </c>
      <c r="B20" s="2" t="inlineStr">
        <is>
          <t>G-19 June 148 kg duplicate</t>
        </is>
      </c>
    </row>
    <row r="21">
      <c r="A21" s="2" t="inlineStr">
        <is>
          <t>ROB-recizQEts3O2pYoJn</t>
        </is>
      </c>
      <c r="B21" s="2" t="inlineStr">
        <is>
          <t>G-20 June handover</t>
        </is>
      </c>
    </row>
    <row r="22">
      <c r="A22" s="2" t="inlineStr">
        <is>
          <t>ROB-rec5K5YO2pTOqSbFb</t>
        </is>
      </c>
      <c r="B22" s="2" t="inlineStr">
        <is>
          <t>G-21 July truck</t>
        </is>
      </c>
    </row>
    <row r="23">
      <c r="A23" s="2" t="inlineStr">
        <is>
          <t>ROB-recDmbeTI4kj1LGMs</t>
        </is>
      </c>
      <c r="B23" s="2" t="inlineStr">
        <is>
          <t>G-22 Mission 37 terminology</t>
        </is>
      </c>
    </row>
    <row r="24">
      <c r="A24" s="2" t="inlineStr">
        <is>
          <t>ROB-recctSkY9s9OWX9N2</t>
        </is>
      </c>
      <c r="B24" s="2" t="inlineStr">
        <is>
          <t>G-23 July truck absent/understated</t>
        </is>
      </c>
    </row>
    <row r="25">
      <c r="A25" s="2" t="inlineStr">
        <is>
          <t>ROB-recj1ALxy6QQ0ajdE</t>
        </is>
      </c>
      <c r="B25" s="2" t="inlineStr">
        <is>
          <t>G-24 Mission 38</t>
        </is>
      </c>
    </row>
    <row r="26">
      <c r="A26" s="2" t="inlineStr">
        <is>
          <t>ROB-recIOT2vNEsqCjJFp</t>
        </is>
      </c>
      <c r="B26" s="2" t="inlineStr">
        <is>
          <t>G-25 August truck</t>
        </is>
      </c>
    </row>
    <row r="27">
      <c r="A27" s="2" t="inlineStr">
        <is>
          <t>ROB-recFHukYf2JtvL0Ak</t>
        </is>
      </c>
      <c r="B27" s="2" t="inlineStr">
        <is>
          <t>G-26 Mission 39</t>
        </is>
      </c>
    </row>
    <row r="28">
      <c r="A28" s="2" t="inlineStr">
        <is>
          <t>ROB-recTCK3iNLxzUljHh</t>
        </is>
      </c>
      <c r="B28" s="2" t="inlineStr">
        <is>
          <t>G-27 Total tab mismatch</t>
        </is>
      </c>
    </row>
    <row r="29">
      <c r="A29" s="2" t="inlineStr">
        <is>
          <t>ROB-recXJEqaQUWu2GHBi</t>
        </is>
      </c>
      <c r="B29" s="2" t="inlineStr">
        <is>
          <t>G-28 sender address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2026-09-16T23:29:34Z</dcterms:created>
  <dcterms:modified xmlns:dcterms="http://purl.org/dc/terms/" xmlns:xsi="http://www.w3.org/2001/XMLSchema-instance" xsi:type="dcterms:W3CDTF">2026-09-16T23:29:34Z</dcterms:modified>
</cp:coreProperties>
</file>